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mc:AlternateContent xmlns:mc="http://schemas.openxmlformats.org/markup-compatibility/2006">
    <mc:Choice Requires="x15">
      <x15ac:absPath xmlns:x15ac="http://schemas.microsoft.com/office/spreadsheetml/2010/11/ac" url="C:\Users\noinh\Desktop\iGaps\iGap accelerate\Model\Sample presentations\"/>
    </mc:Choice>
  </mc:AlternateContent>
  <xr:revisionPtr revIDLastSave="0" documentId="8_{73E0DE35-1588-42E1-84F7-55BFFC7561A3}" xr6:coauthVersionLast="47" xr6:coauthVersionMax="47" xr10:uidLastSave="{00000000-0000-0000-0000-000000000000}"/>
  <bookViews>
    <workbookView xWindow="-110" yWindow="-110" windowWidth="19420" windowHeight="11500" xr2:uid="{1B186DDB-8B91-4BC4-A0A2-3EBC63920596}"/>
  </bookViews>
  <sheets>
    <sheet name="startup_master_comprehensive_da" sheetId="1" r:id="rId1"/>
    <sheet name="Test 1- 20th Jun" sheetId="2" r:id="rId2"/>
  </sheets>
  <definedNames>
    <definedName name="_xlnm._FilterDatabase" localSheetId="0" hidden="1">startup_master_comprehensive_da!$A$1:$AO$32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 i="2" l="1"/>
  <c r="F9" i="2"/>
  <c r="A21" i="2"/>
  <c r="A20" i="2"/>
  <c r="A19" i="2"/>
  <c r="A18" i="2"/>
  <c r="A17" i="2"/>
  <c r="A16" i="2"/>
  <c r="A15" i="2"/>
  <c r="A14" i="2"/>
  <c r="A13" i="2"/>
  <c r="A12" i="2"/>
  <c r="A11" i="2"/>
  <c r="A10" i="2"/>
  <c r="A9" i="2"/>
  <c r="A8" i="2"/>
  <c r="A7" i="2"/>
  <c r="A6" i="2"/>
  <c r="A5" i="2"/>
  <c r="A4" i="2"/>
  <c r="A3" i="2"/>
  <c r="A2" i="2"/>
  <c r="A1" i="2"/>
  <c r="AE4" i="1"/>
  <c r="AC4" i="1"/>
  <c r="AB4" i="1"/>
  <c r="Z4" i="1"/>
  <c r="AD6" i="1"/>
  <c r="AB6" i="1"/>
  <c r="AB9" i="1"/>
</calcChain>
</file>

<file path=xl/sharedStrings.xml><?xml version="1.0" encoding="utf-8"?>
<sst xmlns="http://schemas.openxmlformats.org/spreadsheetml/2006/main" count="374" uniqueCount="300">
  <si>
    <t>Brand Name</t>
  </si>
  <si>
    <t>Startup Status</t>
  </si>
  <si>
    <t>Suitable for</t>
  </si>
  <si>
    <t>Startup Name</t>
  </si>
  <si>
    <t>Founders / Contact Persons</t>
  </si>
  <si>
    <t>Contact Email(s)</t>
  </si>
  <si>
    <t>Number of cofounders</t>
  </si>
  <si>
    <t xml:space="preserve">Company Linkedin </t>
  </si>
  <si>
    <t>Website URL</t>
  </si>
  <si>
    <t>Github link</t>
  </si>
  <si>
    <t>Sector / Domain</t>
  </si>
  <si>
    <t>CIN Number</t>
  </si>
  <si>
    <t>Pitch Deck Link</t>
  </si>
  <si>
    <t>Q1: Problem statement view</t>
  </si>
  <si>
    <t>Q2: Problem Exposure- How long were you exposed to this problem before starting the company? | (Enter 0 if the problem was identified only after founding the company.)</t>
  </si>
  <si>
    <t>Q3: Co-founder Duration | How long have you known your co-founder? (Enter 0 if you are a solo founder.)</t>
  </si>
  <si>
    <t>Q4: Relationship Nature</t>
  </si>
  <si>
    <t>Q5: Primary source of First 10 Customers GTM</t>
  </si>
  <si>
    <t>Q6: Initial CAC</t>
  </si>
  <si>
    <t>Q7: Pivot History- How many times have you pivoted?</t>
  </si>
  <si>
    <t>Q8: Customer Discovery Depth - How many people have you spoken to as part of your customer discovery process?</t>
  </si>
  <si>
    <t>Q9: Target Persona Role</t>
  </si>
  <si>
    <t>Q10: Target Persona type</t>
  </si>
  <si>
    <t>Q11: Willingness to Pay</t>
  </si>
  <si>
    <t>Q12: Estimated number of target persona in your primary market</t>
  </si>
  <si>
    <t>Q13: Product TRL Level</t>
  </si>
  <si>
    <t>Q14: Two Primary Dimensions of Differentiation</t>
  </si>
  <si>
    <t>Q15: Value Improvement Multiple | Compared to the best existing alternative, how much better is your solution on the primary differentiation metric?</t>
  </si>
  <si>
    <t>Q16: Primary source of competitive moat</t>
  </si>
  <si>
    <t>Q17: Commercial Traction Stage</t>
  </si>
  <si>
    <t>Q18: Core Traction Metrics</t>
  </si>
  <si>
    <t>Open Q1 — Founder Journey | How did you get to this point? | Tell the complete story of your journey, including your background, key experiences, insights, turning points, and why you decided to start this company.</t>
  </si>
  <si>
    <t>Open Q2 — Unique Insight | What is the one thing you know about this problem that someone who has not lived your journey would never see? Describe the non-obvious insight that only came from firsthand experience.</t>
  </si>
  <si>
    <t>Open Q3 — Problem Statement | Describe the problem you are solving in the exact words of the person experiencing it. | Who is most affected by this problem, and how does it impact their daily life or work?</t>
  </si>
  <si>
    <t>Open Q4 — Gap Analysis | What is missing between how things work today Vs how your customers want it to work</t>
  </si>
  <si>
    <t>Open Q5: Walk me through the customer discovery process- who did you speak to, what surprised the most, what did you learn and what thinking changed</t>
  </si>
  <si>
    <t>Open 6 — Learning from Mistakes |  Tell us about a time you were wrong.
What happened?
What assumptions failed?
How quickly did you recognize the mistake?
What changes did you make?</t>
  </si>
  <si>
    <t>Open Q7 — Unfair Advantage| What can you accomplish in the next 30 days that someone with more money but less context than you could not? | Explain the unique leverage, knowledge, relationships, or understanding that gives you an edge.</t>
  </si>
  <si>
    <t>Open Q7 — Solution &amp; Switching Motivation | Describe your solution in the words of your target customer. | Why would someone currently using the best available alternative switch to your product?</t>
  </si>
  <si>
    <t>Open Q8 — Hardest Challenge | What is the hardest problem you have solved while building this company?| What part of your solution would be most difficult for a well-funded competitor to replicate?</t>
  </si>
  <si>
    <t>Open Q10 — Proof of Demand | What concrete evidence proves that the market needs your solution?| Examples:
Paying customers
Renewals
Organic referrals
Pilots converting into contracts
Measurable user engagement
Strong retention metrics</t>
  </si>
  <si>
    <t>Tensor Dynamics</t>
  </si>
  <si>
    <t>PreSeed</t>
  </si>
  <si>
    <t>Friends/ Family/ Angels</t>
  </si>
  <si>
    <t>TENSOR DYNAMICS PRIVATE LIMITED</t>
  </si>
  <si>
    <t>Faizan Khan</t>
  </si>
  <si>
    <t>contact@tensordynamics.ai</t>
  </si>
  <si>
    <t>https://www.linkedin.com/company/unavailable/</t>
  </si>
  <si>
    <t>https://tensordynamics.ai</t>
  </si>
  <si>
    <t xml:space="preserve"> https://github.com/TensorDynamics/</t>
  </si>
  <si>
    <t>Artificial Intelligence / Climate Tech</t>
  </si>
  <si>
    <t>U74990DL2018PTC339771</t>
  </si>
  <si>
    <t>https://drive.google.com/open?id=1siqH3vD0Gy56nsytDv4l3LVgU0DdmvOZ</t>
  </si>
  <si>
    <t>Industry Insider</t>
  </si>
  <si>
    <t>72 months</t>
  </si>
  <si>
    <t>NA</t>
  </si>
  <si>
    <t>Professional network</t>
  </si>
  <si>
    <t>I can specify the specific role- Owners/ CEOs/ MD of power cos in renewable sector</t>
  </si>
  <si>
    <t xml:space="preserve">Enteprise (200+ employees) </t>
  </si>
  <si>
    <t>Yes- they spend substantially on this problem currently</t>
  </si>
  <si>
    <t>I have an estimate in a cited source</t>
  </si>
  <si>
    <t>TRL 9 – Actual system proven in operational use</t>
  </si>
  <si>
    <t>Performance · measurably better outcomes</t>
  </si>
  <si>
    <t>2× to 5×</t>
  </si>
  <si>
    <t>Deep technology (patentable IP, novel algorithms)</t>
  </si>
  <si>
    <t>Early conversations or proof-of-concept discussions</t>
  </si>
  <si>
    <t xml:space="preserve">Inconsistent metric </t>
  </si>
  <si>
    <t>my academic background at IIT Delhi, where I completed my M.Tech in Atmospheric Sciences and Meteorology. I’ve always been fascinated by how weather dynamics impact critical infrastructure. Before founding Tensor Dynamics in 2019, I worked on system development for major power agencies like the Power Grid of India, NTPC, and Adani Green Energy. I realized that while India has ambitious goals for renewable energy—aiming for 450 GW by 2030—the current grid is becoming unstable because power companies simply cannot forecast production accurately. We started Tensor Dynamics to solve this inefficiency and support the global transition to clean energy.</t>
  </si>
  <si>
    <t>The non-obvious insight I've gained is that for the power sector, "generic weather data" is practically useless. Most providers offer hourly or 6-hourly updates, but in renewable energy, weather changes in minutes. Someone who hasn't lived this wouldn't see that real-time, 15-minute refresh cycles are the difference between a stable grid and a massive financial penalty. We also realized that accurate forecasting isn't just about AI; it's about a hybrid approach that blends satellite data, IoT, and numerical weather prediction.</t>
  </si>
  <si>
    <t>A Power Producer experiencing this would say: "I’m losing millions of rupees every single hour because the wind died down or the clouds moved in, and I couldn't tell the grid regulator in time. I'm being hit with massive DSM penalties—collectively over INR 3000 Crores this year—and it's making my entire plant unprofitable". This impacts IPPs, grid controllers, and even national security, as grid instability is a serious threat.</t>
  </si>
  <si>
    <t>What's missing today is an integrated platform. Currently, the market is scattered: you have companies for weather data, separate ones for analytics, and different ones for monitoring. Our customers want all of this in one place—Skycaster—to reduce manpower by up to 75% per GW and provide a faster response to extreme weather events</t>
  </si>
  <si>
    <t xml:space="preserve">Our discovery process involved working directly with power sector leaders like Adani Green and the Grid Controller of India. What surprised us most was that high accuracy alone wasn't enough to solve the "distrust" in the market; we needed to provide better visualization and asset monitoring tools to make the data actionable. </t>
  </si>
  <si>
    <t xml:space="preserve">One of the things that we what we have learned is that large energy companies like Adani and When you they prefer to have their in-house solution and are not comfortable at exposing their assets to a 3rd party like us this is making it a bit challenging for us to acquire customers Therefore we are potentially exploring a pivot where this kind of weather information can also be used for other industries such as pharma which are heavily dependent on cold chain </t>
  </si>
  <si>
    <t>We’ve completed the Shell accelerator program, which gave us access to their full India renewable energy portfolio to test and deploy our tech. This level of operational data access and validation from a global giant is something no amount of money can buy quickly if you don't have the existing relationship and a specialized, "niche of niche" expertise like ours</t>
  </si>
  <si>
    <t>We are an integrated platform that finally cut our penalties and gave us a clear view of our assets in real-time". Someone would switch to Skycaster because we offer 15-minute real-time weather data and integrated GIS monitoring, whereas competitors like Solar GIS or MeteoBlue only offer hourly data and lack integrated predictive power analytics</t>
  </si>
  <si>
    <t>In-house cloud hyper-scaler optimization toolkits and hyper-funded open-source data frameworks.The hardest problem we’ve solved is maintaining 85% forecasting accuracy while integrating disparate data sources like satellite nowcasts and ground-level IoT. The part most difficult for a well-funded competitor to replicate is our proprietary "Dynamics Weather Model" and the deep domain expertise our team has in Indian meteorological conditions</t>
  </si>
  <si>
    <t>Our demand is evidenced by the 15 GW portfolio currently testing our software under a freemium model and our revenue growth from INR 23 Lakhs to a projected INR 31 Lakhs for FY24. We’ve also seen commitment from the Shell Corporation and the Government of India’s SAMRIDH scheme. Furthermore, winning the 2023 Geospatial Hackathon by Microsoft and the DST proves that our tech is recognized as a market leader.</t>
  </si>
  <si>
    <t>Ayudyog</t>
  </si>
  <si>
    <t>AYUDYOG PRIVATE LIMITED</t>
  </si>
  <si>
    <t>SAUMITRA DASGUPTA, SHUBHASHISH, DILIP SINGH</t>
  </si>
  <si>
    <t>admin@metaspeq.com
ayudyog@gmail.com
info@metaspeq.com</t>
  </si>
  <si>
    <t>https://www.linkedin.com/company/ayudyog/</t>
  </si>
  <si>
    <t>https://ayudyog.in</t>
  </si>
  <si>
    <t xml:space="preserve"> </t>
  </si>
  <si>
    <t>IoT/ AI/ Pharma</t>
  </si>
  <si>
    <t>U24239WB2020PTC236561</t>
  </si>
  <si>
    <t>https://drive.google.com/open?id=16U2NlB33YXPNg8ClSFAW05zfsCDUF_wh</t>
  </si>
  <si>
    <t>96 months</t>
  </si>
  <si>
    <t>36 months</t>
  </si>
  <si>
    <t>Studied together</t>
  </si>
  <si>
    <t>Professional networks, partnerships, direct sales</t>
  </si>
  <si>
    <t>I can specify the specific role= CEO of mid sized Pharma company, QC head of large sized pharma co</t>
  </si>
  <si>
    <t>TRL 7 – System prototype in operational environment</t>
  </si>
  <si>
    <t>Active pilots or signed Letters of Intent (LOIs)</t>
  </si>
  <si>
    <t>I hold an M. Pharm and spent 8 years on the front lines of quality testing and the chemical market. During this time, I saw firsthand that the "pharmacy of the world" was facing a quiet crisis: traditional quality control (QC) is incredibly slow, expensive, and uses toxic chemicals, which often leads to substandard or spurious drugs entering the market.1234
The turning point was realizing that MSMEs, which make up 85% of drug manufacturers, simply couldn't afford the massive lab infrastructure required for reliable QC. I teamed up with experts like Dr. Subhadip Banerjee and Dr. Dilip Sing—who bring deep expertise in spectroscopy and instrumentation—and Prof. Rajib Bandyopadhyay from Jadavpur University. Together, we decided to build Ayudyog to democratize quality assurance through a portable, AI-powered solution</t>
  </si>
  <si>
    <t>The non-obvious insight is that the "quality problem" isn't just about bad intent; it’s a massive bottleneck in the production cycle. Someone looking from the outside sees "spurious drugs," but from the inside, you see that traditional methods are so resource-intensive that they actually prevent timely production and lead to 10-30% turnover losses. We realized that if you can't test during the process because it takes too long or costs too much, quality will always be an afterthought. Our insight was that the solution had to be chemical-free and require zero sample preparation to truly integrate into a manufacturer's daily workflow</t>
  </si>
  <si>
    <t>"I’m losing 20% of my production time and significant turnover because my QC testing is slow, expensive, and relies on chemicals that are a nightmare to manage. If I miss a substandard batch, my brand reputation is ruined, but I can't afford a massive, slow-moving lab for every step of my process". This impacts General Managers in Pharma Production and QA-QC labs who struggle to ensure safety and productivity simultaneously</t>
  </si>
  <si>
    <t>Today, QC is a "stop-and-wait" process—you take a sample, go to a lab, use reagents, and wait hours or days for a result. Customers want "real-time, on-site" assurance. There is a total lack of affordable, portable, and chemical-free options for MSMEs to check raw materials and finished products instantly</t>
  </si>
  <si>
    <t>We underwent an accelerator program with GSK, Indian pharma major. Here We moved from a broad "transparency" problem to a very specific one. We spoke extensively to QA-QC managers in pharmaceutical manufacturing units. What surprised us most was how much they hated the "toxic chemical" aspect of testing. We learned that they weren't just looking for accuracy; they needed speed and portability to prevent production delays. This changed our thinking from building a lab tool to building a "production-floor" device</t>
  </si>
  <si>
    <t xml:space="preserve">arly on, our problem statement was too broad—focusing on "transparency and traceability across the value chain". We assumed the market needed a high-level tracking solution. We realized during Primary Market Research (PMR) that the immediate, burning pain was actually the cost and time of the testing itself. </t>
  </si>
  <si>
    <t>While a well-funded competitor might try to build a device, we already have a functional prototype, three units installed, and a direct pipeline of over 40 potential clients who have seen our demos. Our edge is our proprietary chemometric and neural network models developed through years of R&amp;D at Jadavpur University—context that money cannot buy overnight</t>
  </si>
  <si>
    <t>It’s a handheld, 'point-and-shoot' device that tells me if my drugs are authentic and high-quality in under 5 minutes without using a single drop of chemical". A customer using the best alternative—expensive, stationary lab equipment—would switch because we offer 90% savings in running costs and 40% lower initial costs, all while being portable and just as accurate (95-98%)</t>
  </si>
  <si>
    <t xml:space="preserve">The hardest problem was perfecting the AI-driven chemometric models to achieve 95-98% accuracy across different drug molecules. </t>
  </si>
  <si>
    <t>Revenue: We have 18 lakhs in advance revenue with 60 lakhs already booked.4
Traction: We have successfully deployed three instruments and have a pipeline of 40+ interested parties.34
Recognition: We are incubated at IHFC, IIT Delhi, and have received a grant from CDAC Kolkata.510
IP: We have one Indian patent granted and another applied for</t>
  </si>
  <si>
    <t>Intellewings</t>
  </si>
  <si>
    <t>Pre- Series A</t>
  </si>
  <si>
    <t>VC/ Micro VC/ Angel funds</t>
  </si>
  <si>
    <t>INTELLEWINGS PRIVATE LIMITED</t>
  </si>
  <si>
    <t>Pramod Sharma</t>
  </si>
  <si>
    <t>pramod.sharma@intellewings.com</t>
  </si>
  <si>
    <t>https://www.linkedin.com/company/intellewings/posts/?feedView=all</t>
  </si>
  <si>
    <t>https://intellewings.com</t>
  </si>
  <si>
    <t>RegTech / FinTech / Anti-Money Laundering (AML)</t>
  </si>
  <si>
    <t>U72900DL2019PTC352670</t>
  </si>
  <si>
    <t>https://drive.google.com/open?id=1gK3CFvFG45ca7gqXB8ZDlvCRWiEcn3Kw</t>
  </si>
  <si>
    <t xml:space="preserve">144 months </t>
  </si>
  <si>
    <t>I can specify the specific role: Compliance Officers, MLROs (Money Laundering Reporting Officers), and CEOs of Banks, NBFCs, Insurance Cos, Fintech</t>
  </si>
  <si>
    <t>Yes- they spend significantly on this problem currently</t>
  </si>
  <si>
    <t>Price · significantly more affordable, Simplicity · requires significantly less technical sophistication</t>
  </si>
  <si>
    <t>Scaled revenue (demonstrable growth trajectory)</t>
  </si>
  <si>
    <t>My journey is rooted in 18 years of technical leadership, including my time as a Senior Architect at Infosys. I spent years delivering IT modernization and digital journey solutions to global giants like Bank of America, Morgan Stanley, and ABN Amro. The turning point came when I saw how even these massive entities struggled with inefficient, manual processes for Anti-Money Laundering (AML) and CFT compliance. I realized that the "piece-meal" approach—where data and software come from different vendors—was causing massive regulatory penalties and high costs. I founded Intellewings in 2019 with a singular focus: to stop money laundering and fraud through a truly integrated, deep-tech powered solution</t>
  </si>
  <si>
    <t>The non-obvious insight I've gained is that for most financial institutions, the biggest enemy isn't just the money launderer; it’s the "false positive" noise. Standard systems flag so many innocent transactions that the real threats often slip through undetected. My firsthand experience taught me that compliance isn't just about having a list of rules; it's about intelligent "Outlier Logic" and "Network Analytics". You need to see the shape of a transaction relationship, not just a single data point, to truly catch fraud before it happens.</t>
  </si>
  <si>
    <t>The person experiencing this problem would say: "I am constantly looking over my shoulder at the regulator. My team is drowning in manual alerts, but I still feel blind to actual fraud. If we miss one major case, the penalty could be in the millions, yet the current software we use is expensive, slow, and doesn't talk to our data properly." This hits compliance officers and CEOs at banks, insurance companies, and fintechs who face business losses and heavy penalties due to these systemic inefficiencies.</t>
  </si>
  <si>
    <t>The gap is massive. Today, things work in a piece-meal, expensive, and manual fashion. Customers want a solution that is 70% more efficient and leverages AI/ML to reduce false positives automatically. They need a system that integrates Transaction Monitoring, Customer Screening, and Case Management into one flexible workflow with a clear audit trail.</t>
  </si>
  <si>
    <t>Our discovery process involved deep conversations with over 180 clients, including HDFC Bank, Tata Payments, and Star Health Insurance. What surprised me most was how desperate even the largest institutions were for a "singular and dedicated" solution. We learned that they weren't looking for another module; they were looking for a way to reduce compliance costs by up to 50% while improving accuracy. This changed our thinking from being just a "software provider" to being a "360-degree compliance partner</t>
  </si>
  <si>
    <t>Earlier in our journey, we out of desparation to get business got into a predatory long term contract with a distribution partner in UAE. This has resulted in a situation where we cannot operate ourselves in UAE for decades. We realized the high-touch nature of the business and maintained our direct sales approach for India , instead of focusing on partner led expansion in other markets like RSA and other GCC countries</t>
  </si>
  <si>
    <t>While others have to pay third parties for Sanction and PEP (Politically Exposed Persons) data, we own our screening database. This allows us to offer a 360-degree view that is fully customizable and flexible in a way a larger, rigid competitor never could be. Furthermore, we have the specialized trust of major players—we've already alerted real cases of terrorist funding for a top private sector bank.</t>
  </si>
  <si>
    <t>A target customer would say: "Intellewings is the only platform that actually understands our risk. It’s fully customizable, gives us an integrated view of our alerts, and the outlier logic catches what everyone else misses." Someone using the "best" alternative would switch to us because we provide exclusive features like Graphical Network Analytics and AI-based threshold tuning that our competitors simply don't offer in such a comprehensive package</t>
  </si>
  <si>
    <t>The hardest problem we solved was building an AI model that could accurately identify suspicious transactions that "sneak through" fixed rules. This "Outlier Logic" and our proprietary "Intellewings' EYE" for graphical network analysis are the hardest for well-funded competitors to replicate because they are built on deep-tech expertise and years of specific domain knowledge in AML scenarios</t>
  </si>
  <si>
    <t>Our demand is proven by our 180+ active clients, including market leaders like Flipkart, HDFC ERGO, and Northern Arc. We have a remarkable 100% retention rate for enterprise clients and 97% for SMEs. Our Annual Recurring Revenue (ARR) has surged from $100K in Jan 2023 to nearly $1 million today, and we’ve already completed successful POCs with global institutions like Deutsche Bank.</t>
  </si>
  <si>
    <t>Wegomeds</t>
  </si>
  <si>
    <t>WEGOMEDS HEALTH CARE PRIVATE LIMITED</t>
  </si>
  <si>
    <t>VIJAY BABU, RAM VIJAY</t>
  </si>
  <si>
    <t>ops@wegomeds.com</t>
  </si>
  <si>
    <t>https://www.linkedin.com/company/wegomeds-health-care/</t>
  </si>
  <si>
    <t>https://wegomeds.com</t>
  </si>
  <si>
    <t>Health &amp; Wellness</t>
  </si>
  <si>
    <t>U85300TN2021PTC147475</t>
  </si>
  <si>
    <t>https://drive.google.com/file/d/1J4Gt2Q4qn9_VX63WmZVDLI0-hqlN_95F/view</t>
  </si>
  <si>
    <t xml:space="preserve">Outside- In </t>
  </si>
  <si>
    <t>108 months (9 years)</t>
  </si>
  <si>
    <t xml:space="preserve">48 months </t>
  </si>
  <si>
    <t>Worked together in same organisation</t>
  </si>
  <si>
    <t>I can specify the specific role- Elderly people and their children</t>
  </si>
  <si>
    <t>Micro business or Individual (&lt;10 employees)</t>
  </si>
  <si>
    <t xml:space="preserve">Price · significantly more affordable </t>
  </si>
  <si>
    <t>Exclusive partnerships or distribution</t>
  </si>
  <si>
    <t>Recurring revenue (MRR or ARR established)</t>
  </si>
  <si>
    <t>Early-stage consistant metric</t>
  </si>
  <si>
    <t>My journey began with a core realization that India’s healthcare sector, while growing rapidly, still suffers from a massive gap in quick accessibility to quality home care. I've always been driven by the mission to provide compassionate, patient-centric care that goes beyond standard expectations. Seeing the struggle of elderly patients—often living away from their children—to find vetted healthcare professionals for post-surgery or acute care was the turning point. We moved from a traditional service model to an AI-powered marketplace because I saw that only technology could decentralize hospital-level care and bring it into the comfort of the home</t>
  </si>
  <si>
    <t>The non-obvious insight is that "care" isn't just a medical transaction; it's a coordination problem. While most see a shortage of doctors or nurses, I realized the real bottleneck is the lack of coordination. 72% of people report poor coordination between providers, and 65% struggle with last-minute arrangements. We discovered that recovery isn't just about the nurse who shows up; it's about the personality match, the language preference, and the real-time data flow to the family. If the personality doesn't match, the recovery slows down—that’s a human insight we've codified into our smart-matching algorithm</t>
  </si>
  <si>
    <t>My father just had surgery, I live in another city, and I can't find a single person I trust to handle his dressings, vitals, and daily physio without me being there to micromanage every minute". This problem most affects the "sandwich generation"—working professionals caring for aging parents—and the elderly themselves who face a "lonely journey" of recovery with no centralized way to manage their post-hospitalization needs</t>
  </si>
  <si>
    <t>Today, care is fragmented: you call one person for a nurse, another for equipment, and a third for lab tests. Customers want a "Single Window" experience. There is a total lack of real-time health status information for stakeholders, which leads to high readmission rates. Customers want to see their loved one's vitals on their phone in real-time, but today they just get a verbal "he's fine" from an unvetted attendant</t>
  </si>
  <si>
    <t>What surprised us most during discovery was that cost wasn't the primary deterrent; it was the lack of vetting and trust. We initially thought people wanted the cheapest care, but we learned they would pay a premium for "zero downtime" and "verified listings". This changed our thinking from being a simple directory to becoming a "Single Window" platform that takes full responsibility for the service delivery and the quality of the healthcare worker (HCW)</t>
  </si>
  <si>
    <t>Early on, we assumed that simply connecting patients to providers (a pure aggregator model) was enough. We realized quickly that without technology-enabled quality control, we were just another agency. The mistake was not integrating IoT and remote monitoring from day one. We recognized this as a scalability bottleneck and pivoted to raise funds specifically to build a deep-tech platform (AI/ML) to automate these quality checks</t>
  </si>
  <si>
    <t>e can activate a hyper-local, vetted network of over 1,000 healthcare vendors and 4,000 healthcare partners that we have spent years cultivating. A well-funded competitor could buy ads, but they cannot instantly replicate the trust-based relationships we have with standalone hospitals for referrals or our proprietary "quality-assured" onboarding system. We also have an integrated "medical device framework" that allows us to start collecting continuous health data immediately, something a pure service-based aggregator lacks.</t>
  </si>
  <si>
    <t>Customers describe us as their "Healthcare Navigator". Someone using a traditional agency would switch to Wegomeds because we offer 100% allied services (compared to 50-80% for competitors), a 2-hour service guarantee, and AI-driven personalization that adjusts care plans based on real-time health data. We don't just send a person; we provide a data-backed recovery program that has proven to reduce hospital readmissions by 40%</t>
  </si>
  <si>
    <t>The hardest problem was standardizing service quality across a decentralized workforce. We solved this by building our own training school that provides 40 hours of simulation and hands-on practical training. A well-funded competitor can't easily replicate our Smart Matching Algorithm which considers 50+ parameters, including personality and location data, to ensure the "perfect match" between patient and provider.</t>
  </si>
  <si>
    <t>Our traction is our proof:
Paying Customers: Over 1,500 patients served to date.34
Revenue: Achieved INR 1.0 Crore in revenue for FY 2023-24.34
Quality Metrics: 90% improvement in patient satisfaction and a 40% reduction in hospital readmissions.4
Partnerships: Secured strategic partnerships with global leaders like GSK for adult vaccinations and Anidra (Australia) for remote monitoring</t>
  </si>
  <si>
    <t>Carewell 360</t>
  </si>
  <si>
    <t>CAREWELL360 HEALTHCARE PRIVATE LIMITED</t>
  </si>
  <si>
    <t>Gaurav Bali, NIPUNBIR SINGH</t>
  </si>
  <si>
    <t>info@carewell360.com</t>
  </si>
  <si>
    <t>https://www.linkedin.com/company/carewell360/</t>
  </si>
  <si>
    <t>https://carewell360.com</t>
  </si>
  <si>
    <t>HealthTech / Holistic Patient Care / Chronic Condition Monitoring</t>
  </si>
  <si>
    <t>U85100DL2021PTC376540</t>
  </si>
  <si>
    <t>https://drive.google.com/open?id=1kl9HTr9a5-SuhDQ_FWzYoJ1JUEMe634A</t>
  </si>
  <si>
    <t>84 months</t>
  </si>
  <si>
    <t>Met through professional network or community</t>
  </si>
  <si>
    <t>Community (Online/ Offline), partnerships, direct outreach</t>
  </si>
  <si>
    <t>Yes</t>
  </si>
  <si>
    <t>I can specify the specific role- housewife or a woman in menstrual age in small towns/ villages</t>
  </si>
  <si>
    <t>I have no estimate yet</t>
  </si>
  <si>
    <t>TRL 5 – Technology validated in relevant environment</t>
  </si>
  <si>
    <t>Accessibility · works for users which existing solutions exclude</t>
  </si>
  <si>
    <t>Network effects, Exclusive partnerships or distribution</t>
  </si>
  <si>
    <t>The real seed was planted back in 2015 with a venture we called Project Salmon. That was my commercial pilot. We were providing discrete online solutions for sensitive issues like infertility—areas where women were suffering in silence due to social stigma and a complete lack of local facilities. We even opened an 'offline experience center' in Jammu and successfully facilitated IVF cycles. That was my 'aha' moment: I realized that a hybrid, 'phygital' model could actually work where a purely digital one might fail.
What I saw during those years was a disturbing pattern. While the metros were getting flooded with health apps, women in Tier 2 and Tier 3 towns like Sunam and Patiala were still falling prey to quacks and unethical medical practices. They had smartphones and the financial means, but zero access to judgment-free, professional advice.
I knew that to fix this, I couldn't just rely on business logic. I went back to school for a Healthcare Management specialization at ISB to truly understand the clinical-business framework. I then brought on Dr. Nipunbir Singh as my co-founder to ensure we had world-class clinical depth. Carewell 360 is the culmination of that entire decade of learning.\</t>
  </si>
  <si>
    <t xml:space="preserve">While there is a proliferation of healthcare services and centers across urban centers focused on women , in the smaller towns cities villages women face constant challenges . Health issues is considered a taboo and these women are unable to share their health related needs with the men of the family who decide where these women go and when to go </t>
  </si>
  <si>
    <t>The primary challenge is that 76% of women in these geographies lack access to basic quality healthcare and specialized gynecologists. This creates a "gap-need" where women—specifically married women aged 25 to 45—frequently delay or make uninformed decisions regarding their health. Social Stigma &amp; Privacy: A significant barrier that prevents women from seeking timely medical advice.12
Unethical Practices: Due to the absence of qualified specialists, many women fall prey to quacks, RMPs (Registered Medical Practitioners), or unproven traditional methods, which can lead to life-threatening outcomes and high mortality or morbidity rates.134
Infrastructure Gaps: Most quality IVF and gynecological infrastructure is concentrated in Metros or Tier 1 cities, making it inaccessible for women in smaller towns without significant travel and out-of-pocket expenses.14
Unsafe Procedures: The lack of professional oversight contributes to high rates of unsafe abortions (estimated at 67% of cases) and substandard treatment</t>
  </si>
  <si>
    <t>"Look, the reality for women in these smaller towns today is honestly pretty grim. Right now, if a woman has a gynecological issue, she’s facing a massive wall of social stigma and a complete lack of local expertise. Most of the time, she’s forced to either suffer in silence or, worse, end up at a local 'quack' because it’s the only accessible option. If she needs real care, she has to travel hours to a big city, which is expensive and exhausting. It’s fragmented, judgmental, and frankly, often unsafe—especially when you see that 67% of abortions in these areas are happening under substandard conditions.
What my customers actually want is something completely different. They have smartphones and they have the money to pay, but they want a way to get professional, high-quality medical advice without the fear of being judged by their community. They want a 'Meri Sakhi'—a friend they can talk to discretely on WhatsApp who guides them to the right specialist. They’re looking for a seamless 'phygital' experience where they can start a consultation from their couch but still have a trusted local hospital to go to when they need an actual procedure. They want a partner for their entire life journey, from puberty to menopause, who treats their health as a priority rather than a secret to be hidden."</t>
  </si>
  <si>
    <t xml:space="preserve"> During my research, I personally interviewed 30 women in Sunam, across all age groups from 13 to over 46, and what surprised me most was the 'smartphone paradox'—these women have the financial means and the technology, yet 76% still lack access to quality healthcare due to deep-rooted social stigma. I learned that many were being driven toward 'quacks' and unsafe procedures simply because they lacked a discrete, professional alternative. This realization completely shifted my thinking; I moved away from a broad AI-skin-and-health concept to a dedicated 'phygital' model. We’ve built a bridge using a WhatsApp-based platform supported by a network of trusted hospitals and 'Health Advocates' to ensure that quality care is private, accessible, and free from judgment for every woman, from puberty to menopause</t>
  </si>
  <si>
    <t>The biggest lesson I learned early on was that a great technical solution doesn't always equal a great business solution. When we first started Carewell 360, my mindset was focused on building a high-tech hybrid platform powered by AI and IoT that tried to solve everything—from skin issues to gynaecology—for women across Tier 2, 3, and 4 towns.The assumption I got wrong was that technology alone could bridge the healthcare gap. I quickly realized through the Hello Tomorrow Bootup Program and my own research that our problem statement was too broad and our solution was poorly defined.I recognized the mistake during the initial phase of the program when I began speaking directly to women in smaller towns. I saw that they weren't just looking for an 'AI app'; they were looking for a way to escape the social stigma and unethical medical practices that dominate their local options. Once I saw that, I made several fundamental changes:
Narrowed the Focus: We dropped the skin care services to focus exclusively on discrete gynaecological care and infertility.12
Shifted to 'Phygital': We moved away from a tech-only AI model to a 'phygital' platform that connects digital consultations with real-world hospitals and labs.12
Simplified the Interface: Instead of a complex new app, we leveraged the WhatsApp Business API because that's where our customers already were.12
Strengthened the Team: I realized I couldn't do this as a sole founder, so I brought on Dr. Nipunbir as a co-founder to provide the clinical depth we were missing."1</t>
  </si>
  <si>
    <t xml:space="preserve">In the next 30 days we can onboard a whole lot of health care service providers in cities like Chandigarh where we are focusing we we can on board private clinics and also our integration with Asha workers enables us to reach out to a large set of women very quickly women who are looking for health access . </t>
  </si>
  <si>
    <t>Right now, the best 'alternative' for these women is either traveling hours to a big city like Chandigarh or, sadly, settling for a local chemist or an unqualified 'quack' because of the social stigma and lack of local experts. They are making that switch to us because we remove those massive friction points. Instead of a day-long journey that costs a fortune and risks their privacy, they get a discrete video consultation on WhatsApp and a secure cloud record of their health they can actually understand.123
We’re moving them from a system where they feel judged or underserved to a 'phygital' model where they have a professional clinical network backing them up right from their phone. They switch because, for the first time, they don't have to choose between their privacy and their health—they finally get both</t>
  </si>
  <si>
    <t>The hardest hurdle we've cleared so far has been navigating the 'smartphone paradox' in Tier 2 and Tier 3 cities. It’s one thing to have the technology, but it’s another to build the adoption and validation needed when you're fighting against deep-rooted social stigma and a culture of silence around women's health. We’ve had to meticulously bridge that gap by moving from a purely digital concept to a 'phygital' reality that patients actually trust. This trust is further bestowed with Asha worker partnerships and Meri Sakhi helplines</t>
  </si>
  <si>
    <t>One of our biggest proof points is that we’ve already gained significant traction in the wellness space. But even more telling is that the Punjab Health Ministry is currently considering our platform for a state-wide rollout. They’re looking at us to build a specialized Asha-AI bot that could eventually support ASHA workers across the entire country</t>
  </si>
  <si>
    <t>Flixdrop</t>
  </si>
  <si>
    <t>FLIXDROP PRIVATE LIMITED</t>
  </si>
  <si>
    <t>DHARMENDRA KUMAR</t>
  </si>
  <si>
    <t>team@flixdrop.com</t>
  </si>
  <si>
    <t>https://www.linkedin.com/company/flixdrop-chms/</t>
  </si>
  <si>
    <t>https://flixdrop.com</t>
  </si>
  <si>
    <t>AgriTech / IOT/ AI</t>
  </si>
  <si>
    <t>U85190PB2022PTC055644</t>
  </si>
  <si>
    <t>https://drive.google.com/open?id=1PsuNSnr1TOyt13uUpxVkMmOpMoYCBbE7</t>
  </si>
  <si>
    <t>Personal relationship + Professional Network</t>
  </si>
  <si>
    <t>I can specify the specific role: MD of Amul, CEO of Danone, Owner of Heritage Milk, Owner fo Parag Milk, Director of Karnataka Milk Federation</t>
  </si>
  <si>
    <t>Enteprise (200+ employees) + SME (10-200 employees)</t>
  </si>
  <si>
    <t>Yes- they spend significantly (&gt;Rs. 5 lacs/ USD 6000 per year)</t>
  </si>
  <si>
    <t>Simplicity · requires significantly less technical sophistication, Performance · measurably better outcomes</t>
  </si>
  <si>
    <t>5× to 10×</t>
  </si>
  <si>
    <t>Proprietary data+ Deep technology (patentable IP, novel algorithms)</t>
  </si>
  <si>
    <t xml:space="preserve">I come from a family of agriculture where my larger family in my hometown or in my village We run a cattle farm with almost 100 cows and buffaloes so I always knew this space very well So when I studied my engineering and moved to US in the valley umm I started working on a lot of research projects which involved tracking of health of cattles My expertise lies in machine learning and Iot so I use my expertise and I had a chance to work with a very senior researchers in the United States in this area of research and eventually I realized that you know the India which is my home country it has the largest population of cattles in the world but one of the lowest yields per cattle and therefore I thought you know there's a problem there the health monitoring is not happening because of which the yield for catalyst not very high Umm you know it's probably uh one 8th of that of an American cattle so you know there is something that I can make here a solution to this problem which can help a farmer track the health of a of a of a cattle ensure it's eating well its health statistics are OK we detect its heat and it does not miss a heat cycle and therefore produces healthy calves on time produces milk on time and therefore the yield goes up So with that thought in my mind I came back to India after having spent 10 years in the US and I started working on this project </t>
  </si>
  <si>
    <t xml:space="preserve">There has been attempts in the past to track health of cattle stun you know so people have put tags on their ear on their feet but with my research back in the US II figured that with a collar on the neck of a Buffalo or a cow or cattle you are able to track the vitals of the animal and therefore detect and predict health outcomes diseases and heat among other health indicators so that insight I had you know when I was researching in the US and also II knew the insides the inside out of animal husbandry the challenges of artificial insemination how the heat . The window which is so small you know it gets missed such a so often so most of the researchers and most of the people working in this technology come from urban background they don't own these kettles so I've grown up while watching these kettles grow so that insight and that understanding of animal and their behavior and their concerns that I always had that going you know from my past therefore this is something an insight for an understanding that I always had which other people may not be able to see </t>
  </si>
  <si>
    <t xml:space="preserve">The problem is inability to track the health of an animal so you know let's start with heat A cow or a Buffalo the the window or the mating window where the animal is in heat is very small it's a few days and if you are not able to detect that mating window then to be able to call an artificial insemination expert who will come and perform the insemination process and therefore there's a successful you know impregnation of the animal the chances go drastically low and that's one of the big reasons why in India the yield is low because in most of the cases the owners of these cattle they missed that window and therefore they miss valuable milk producing cycle in the life of an animal Of course there are other aspects which affect yield health of the animal is it eating well So there are these certain indicators which are very important to ensure that the animal is you know healthy and if there is something which is not right that kind of alert is going out to the owner of the kettle so that they can get medical practitioners involved or take the animal to the hospital and do the needful so this problem of the inability to track the health condition of an animal is something that affects the most and Of course it's the smaller than marginal farmers who typically own one or two cattles those are the ones who get affected the most </t>
  </si>
  <si>
    <t xml:space="preserve">What is missing is smart tracking of health we have Fitbit for humans why don't we have Fitbit for cattles india has 200 million cattles That's a huge population of such animals so these the current missing pieces smart tracking and ideally I would want all health alerts coming to the smartphone of the owner so that they get real time access to what's happening to the animal so if a mid sized dairy farm owner with 50 kettles you know it's very impossible for that person to track each and every cattle on a daily basis So I would want health figures going out to this owner of the dairy farm on a daily basis so that they can take proactive decisions and ensure maximum health of their animals and their yield . </t>
  </si>
  <si>
    <t xml:space="preserve">I definitely started with talking to a lot of private dairy owners and small and marginal cattle owners I also ended up talking to leaders in the industry who are managing directors of large cooperative companies like Amul so I spoke with a lot of such people when I was when II already had the product the prototype ready even before that I had a chance to interact with a lot of researchers who are working in this field in the National Dairy Development Board and so on So I've had a chance to speak with a lot of these people and they reflected the need for such a product to solve you know the need for this problem to be addressed There was very strong validation of the need gap of you know a solution which would address the problem that I've been working on so yeah that's what I learned from various people that you know there's a need for something like this something that works in remote regions in low bandwidth condition and it's easy to use You will want a fundamentally easy to use products because most of these guys are not very educated and very tech savvy so they umm something which they can easily uh operate from their smartphones </t>
  </si>
  <si>
    <t>Well initially I started working on foreign cattle's Well then you know I realized that if I were to work in India I have to solve the problem of you know a large number of local breed of cattles so that's one pivot I made and in terms of mistake one of the big mistakes that I've done is you know I've blocked too much capital into working capital because of which I didn't have cash flow So going forward one of the problem one of the things that I would like to do better is cash flow management where I park a certain amount of money for the runway of the team and other indirect expenses for you know a certain amount of time that's it 18 to 24 months and not touch it and have clear allocation for working capital as a separate allocation of funds. Another iteration we did was the pricing. Earlier we were trying to recover the cost of the Hardware affront month on month subscription fee to keep recurring revenue is going but we realized that for a farm with 50 animals the ability to pay upfront for 50 hardware collars is fairly steep and therefore adoption was a challenge so we changed our pricing plan so now what we do is we recover our hardware cost over 12 monthly installments of one you know so initially we charge 499 and then we charge 199 every month so with that we recover a hardware cost in twelve months and for a contract which goes into three to five years the rest of the income that we get from year two onwards adds to our recurring revenues and profits .</t>
  </si>
  <si>
    <t xml:space="preserve">My biggest unfair advantage is the fact that I've been able to connect with some of the biggest guys in the country and have been able to convince them that my product works so my biggest problem right now is not lack of demand but umm it's it's the uh excess of demand which I'm not able to fulfill because of my internal challenges in terms of access to money and systems and procurement bottlenecks so in next 30 days what I can do is create the biggest pipeline of orders bigger than anyone with more funds and less insight uh can ever dream of achieving </t>
  </si>
  <si>
    <t xml:space="preserve">Well my solution is a simple caller which can be easily mounted on the neck of the cattle set up with a smartphone and with the help of a local gateway which gives access to transmission of data over A certain amount of region the users can freely use the product it's a plug and play product can be set up in in a day for a mid size form with 200 animals So it's very easy to use on smartphone all the triggers and all the analytics and data for each and every cattle is transmitted on a regular basis even if the data quality is poor you know it is transmitted later when the data signal is picked up so there's no data which gets leaked or which is missed everything is communicated to the owner of the catals. So in terms of switching they have been attempts by various companies to create similar products in same form factor or in other form factor but none of these guys have been able to produce the accuracy accuracy and the effective outcomes that they promise so my biggest problem right now is not why they will switch to me it's the biggest problem right now is the trust deficit that the customers already have with their poor experiences from the past that is the challenge that I'm facing once people start using my product </t>
  </si>
  <si>
    <t xml:space="preserve">you know they are testifying to others and the word of mouth is happening and there's a very positive feedback so there's no challenge as such. </t>
  </si>
  <si>
    <t>As I said you know I have a strong pipeline of customers who are already given orders which I'm not able to fulfill so initially with the earlier pricing I was facing a bit of a challenge with adoption but now with the renewed pricing I think the demand has definitely increased I have 296 orders which I'm yet to fulfill There was a much bigger pipeline of around 10,000 orders from larger organizations companies like Danone they wanted to pilot in Russia So there is enough indication from medium and large players about the need for such a product and I believe such product is a global product this is given the fact that as I said Danone wants me to pilot in Russia brazil is again a big market and some of the New Zealand based companies with similar product are doing very good business globally so there is enough signal from the market to prove that there is demand of paying customers .</t>
  </si>
  <si>
    <t>Starbase</t>
  </si>
  <si>
    <t>Angels/ Angel funds/ Micro VCs</t>
  </si>
  <si>
    <t>TEAM STARBASE PRIVATE LIMITED</t>
  </si>
  <si>
    <t>NITHIN ANIL</t>
  </si>
  <si>
    <t>mission@starbase.space</t>
  </si>
  <si>
    <t>https://www.linkedin.com/company/starbase-innovations/</t>
  </si>
  <si>
    <t>https://starbase.space</t>
  </si>
  <si>
    <t>DeepTech / Robotics / Aerospace Systems</t>
  </si>
  <si>
    <t>U74999KA2020PTC139884</t>
  </si>
  <si>
    <t>https://drive.google.com/open?id=1E-wNqJ_JfHczIL5wfnCIux_D5-0YIPRz</t>
  </si>
  <si>
    <t>24 months</t>
  </si>
  <si>
    <t>120 months</t>
  </si>
  <si>
    <t>Personal relationship (family/ friend)</t>
  </si>
  <si>
    <t>Partnership or channel driven</t>
  </si>
  <si>
    <t>I can specify the specific role- Owner of fleet operators, waste producing companies</t>
  </si>
  <si>
    <t>SME (10-200 employees)</t>
  </si>
  <si>
    <t>TRL 6 – System/subsystem prototype demonstrated</t>
  </si>
  <si>
    <t>Network effects</t>
  </si>
  <si>
    <t>Strong — Metric is established and growing consistently</t>
  </si>
  <si>
    <t>Our journey began in 2021 when we identified a critical disconnect: real-time data was missing from the waste value chain, causing generated waste to vanish into landfills instead of reaching recycling plants. We spent five years on the ground, working with 630 local self-government departments (LSGDs), 16 waste collectors, and 4 recyclers across Kerala, Maharashtra, Delhi, and West Bengal. This firsthand immersion allowed us to digitize over 350 vehicles and 4,000 collection points, tracking nearly 7,000 metric tonnes of waste monthly. We realized that solving the "landfill problem" required more than just data; it required full visibility across transportation, which led us to evolve Starbase into an end-to-end orchestration platform</t>
  </si>
  <si>
    <t>The non-obvious insight is that 85% of waste transportation fleets are owned by private agencies, creating a massive "blind spot" that makes 100% traceability impossible with traditional systems. Most people assume the problem is just "better recycling," but the real bottleneck is the fragmented coordination and static routing between the collection, segregation, and recycling points</t>
  </si>
  <si>
    <t>As a waste logistics manager puts it: "We are making energy-blind decisions every day." They operate with fragmented coordination and static routing, leading to massive inefficiencies, wasted fuel, and unnecessary emissions because they cannot see where the waste is or where it needs to go in real-time</t>
  </si>
  <si>
    <t>Today, waste logistics are static and energy-blind. Our customers want a system that works like a ride-hailing model—dynamic, on-demand orchestration where supply and processing capacity are matched instantly based on energy efficiency and real-time demand</t>
  </si>
  <si>
    <t>Our discovery process involved deep engagement with waste collectors, recyclers, and government missions in Kerala. What surprised us most was the interest from the private sector; while the government handles collection, private vehicle owners are eager for our system because it demonstrates a clear ability to prevent leakages. This learning shifted our thinking to focus on a balanced approach—maintaining our government ties while aggressively expanding into private sector subscription models</t>
  </si>
  <si>
    <t>Early on, we assumed that digitizing collection and segregation points (Swastha Collect and Swastha Recycle) would be enough to solve the landfill problem. We were wrong. We quickly realized that without digitizing the 85% of the fleet owned by private agencies, we could never achieve 100% transparency. We shifted our entire model to focus on becoming a large-scale orchestration platform that includes fleet support- Uber of Waste Management</t>
  </si>
  <si>
    <t xml:space="preserve"> our existing contract with the Government of Kerala to implement a route tracking system. This mandate gives us unique access to penetrate the lifting and transportation. our established relationships with 630 LSGDs and existing fleet partners to rapidly digitize the transportation component of the value chain  operations across the state</t>
  </si>
  <si>
    <t>A target customer would describe us as: "The digital platform that finally gave us full visibility over our waste operations and cut our operational costs". Someone currently using a manual or basic tracking system would switch to Starbase because we offer exclusive features like IoT weight validation and stakeholder visibility</t>
  </si>
  <si>
    <t>The hardest problem we’ve solved is building a vendor-agnostic, end-to-end tracking system that can scale across different waste streams—from plastics to food waste</t>
  </si>
  <si>
    <t>Our demand is proven by our scale:
Active Operations: Currently coordinating over 5,500 collection and transportation trips per month.1
Volume: Digitally managing approximately 8,000 metric tonnes of material flow monthly.1
Market Reach: Active deployment across 630 LSGDs and multiple states including Kerala and Delh</t>
  </si>
  <si>
    <t>Waypal</t>
  </si>
  <si>
    <t>WAYPAL TECHNOLOGIES PRIVATE LIMITED</t>
  </si>
  <si>
    <t>SUKHWINDER SINGH</t>
  </si>
  <si>
    <t>info@waypal.in</t>
  </si>
  <si>
    <t>https://www.linkedin.com/company/waypal/</t>
  </si>
  <si>
    <t>https://waypal.in</t>
  </si>
  <si>
    <t>InsurTech</t>
  </si>
  <si>
    <t>U72900KL2021PTC068805</t>
  </si>
  <si>
    <t>https://docs.google.com/presentation/d/1iw3htmRYaFKd5KcsPiax_sm6IT_LJAFt/edit?usp=sharing&amp;ouid=109124012051636894256&amp;rtpof=true&amp;sd=true</t>
  </si>
  <si>
    <t>I can only describe the broad category: My target persona includes agents of insurance products brokerage houses of insurance companies and insurance companies themselves across health motor and general insurance and life insurance and also reinsurance can use my analytics so the leadership of these companies like the Ceos or Chief Strategy officers can be my persona of my customer .</t>
  </si>
  <si>
    <t xml:space="preserve">Enterprise SME's and individual </t>
  </si>
  <si>
    <t>Yes- they spend moderately on this problem currently</t>
  </si>
  <si>
    <t>TRL 2 – Technology concept formulated</t>
  </si>
  <si>
    <t>No traction yet</t>
  </si>
  <si>
    <t xml:space="preserve">I was working with my partners in my previous company to develop Internet connected Internet technologies for vehicles and also vehicle tracking system using the proprietary technology that's when I realized that if I'm making technology which can which contract the vehicle and its movement and its usability then uh this presents me with rich data which I can use with an insurance company to underwrite the risks and insurance that these companies gave to their customers so with that in mind I got into into insurance sector I tried motor insurance to begin with and I've had long conversations with them Gradually I realized that data can be used for other sectors in insurance such as health </t>
  </si>
  <si>
    <t>Most of the people in the insurance industry do not come from big data background insurance today is still an underwritten using old school traditional risk mitigation logics the product managers are not using big data to underwrite their products that's where I believe that I bring in that insight of how to use data to create underwriting for insurance products thereby improving the quality of insurance products the price affordability and therefore the antibacterial eyes of the users .</t>
  </si>
  <si>
    <t>Health Insurance has very low Penetration in India, around 20%, mainly Tier 1/2 cities. 
Bharat is completely missing out.
Reasons:
Insurance Products are too complex for manual sales. High-Precision Data problems are being handled by High-Variance Human Networks
Pure Digital D2C Platforms lack the necessary human touch, as Insurance as a product is ”Trust-Dependent".
Human Variance Limits Scale: Growth depends on individual agent capability instead of consistent, system-level intelligence.
Costs Scale Linearly with Headcount: More growth requires more agents, managers and higher CAC - Creating a structural ceiling for penetration in Bharat</t>
  </si>
  <si>
    <t xml:space="preserve"> Traditional Distribution
Waypals Intelligence Layer
”Unreviewed Data In, Rejection Out" 
40% Rejection Rate
"Issue-Ready" Clean Packets:
&lt;5% Rejection Rate
Linear Scaling: 
Growth requires 1:1 increase in regional managers
Exponential Scaling: 
Infinite distribution growth without added headcount
Reactive Audits: 
Mis-selling discovered months after the sale
Real-time Guardrails: 
Suitability validated before the transaction
Low Persistence: 
High variance in lead quality leads to lapses
90% Persistence Goal: 
Suitability-matched sales ensure long-term LTVCan </t>
  </si>
  <si>
    <t>I've had in depth discussions with Insurance agents brokers brokerage houses insurance companies and people I've noticed that customers do not have customized products to suit their need struggling with standard products. The biggest problem I notice is lack of penetration of insurance because of lack of custom products and trusted sources be able to explain him what the product is all about and affordability the biggest surprise that I noticed is the willingness of young people to pay significant amount of money for insurance HD insurance companies are not able to tap .As long as this customers are given custom meets and given adequate coverage such as out of pocket expense coverage OBD coverage medicine coverage coverage for test and diagnosis they are willing to pay significant amount of money in premium but the insurance companies are not building thus these products because of lack of data this is one of the most interesting findings from my primary custom market research where I spoke an different kind of people people who are running small businesses individuals who are working in IT companies and also other stakeholders in the insurance space .</t>
  </si>
  <si>
    <t>I was wrong about my thesis on motor insurance earlier I thought uh the insurance companies would gladly invest in technology and data automation but I later realized that they were very comfortable with the margins that they had and they were not interested in innovating any further . This is where I realized that peripheral insurance sectors like health insurance for example are under stress because of poor profitability increasing cost and saturated distribution and data driven underwriting and middleware which enables decision makers to make the right calls is in need of the hour,</t>
  </si>
  <si>
    <t>an expert in advanced machine learning in next 30 days I can create an underwriting underwriting algorithm which the insurance companies and the brokers can use and deploy in the system to restart underwriting various insurance products the speed at which I can execute this is something that is an unfair advantage for me .</t>
  </si>
  <si>
    <t xml:space="preserve">Waypals is building AI-Native middleware to transform traditional insurance distribution into structured, data-driven advisory systems.
The platform acts as an intelligent interface between human agents and insurers, reducing decision variance while strengthening compliance and data integrity.
By augmenting human agents with AI-powered decision-support tools, Waypals standardizes field-level advisory processes and enables transparent, accountable insurance distribution at scale.
</t>
  </si>
  <si>
    <t>In-house custom platform will be Strategic Rationale
Usage-based monetization promotes responsible and outcome-linked growth.
Reduces upfront financial risk for partner institutions.
Encourages ecosystem-wide participation.
Supports long-term sustainability of digital insurance infrastructure.</t>
  </si>
  <si>
    <t xml:space="preserve">I have been able to secure pilot interests from various large insurance companies such as Bajaj Bajaj General Insurance Neva Bupa and so on they all are interested in building robust data driven </t>
  </si>
  <si>
    <t>Dectrocel</t>
  </si>
  <si>
    <t>Seed</t>
  </si>
  <si>
    <t>DECTROCEL HEALTHCARE AND RESEARCH PRIVATE LIMITED</t>
  </si>
  <si>
    <t>SAUMYA SHUKLA, ANKIT SHUKLA, NIKHIL MISHRA</t>
  </si>
  <si>
    <t>research@dectrocel.com</t>
  </si>
  <si>
    <t>https://www.linkedin.com/company/dectrocel-healthcare-and-research/posts/</t>
  </si>
  <si>
    <t>https://dectrocel.com</t>
  </si>
  <si>
    <t>HealthTech / AI Diagnostics / Clinical Image Intelligence</t>
  </si>
  <si>
    <t>U74999UP2020PTC132534</t>
  </si>
  <si>
    <t>https://drive.google.com/open?id=1jijcYzodJ63C-icayWpStocCCvcYbbeT</t>
  </si>
  <si>
    <t>360 months</t>
  </si>
  <si>
    <t>Yes, we have pivoted once. From Genome sequencing to respiratory AI</t>
  </si>
  <si>
    <t>I can  describe the broad category- CEO/ MD- Machine OEM, CEO/ MD large hospital, Owner- Diagnostic Chain</t>
  </si>
  <si>
    <t>Accessibility · works for users which existing solutions exclude, Price · significantly more affordable</t>
  </si>
  <si>
    <t>Proprietary data, Deep technology (patentable IP, novel algorithms)</t>
  </si>
  <si>
    <t xml:space="preserve">Both Ankit and I have studied at one of the best  universities across the world and  The turning point was recognizing a staggering gap in Indian healthcare: we have only one pulmonary specialist for every 125,000 people. Along with my co-founders, Ankit and Nikhil, we saw that lung ailments were frequently going undiagnosed or were being misdiagnosed due to a lack of skilled readers for chest X-rays—only 0.2% of radiologists in India are trained annually. We started Dectrocel to bridge this gap using deep-tech intervention, ensuring that even in remote areas, a patient can get an accurate diagnosiswe always wanted to do something for our country and our society. </t>
  </si>
  <si>
    <t>The non-obvious insight we’ve gained is that in the Indian healthcare landscape, particularly in Tier 2 to Tier 5 cities, "global accuracy" doesn't matter if you can't process low-resolution images. While many competitors focus on high-end, high-resolution scans, the reality on the ground is often noisy, low-res data. DecXpert® is engineered to be vendor-agnostic and specifically capable of processing these low-resolution images, which is critical for real-world impact in India</t>
  </si>
  <si>
    <t>I've had this cough for months, but the local clinic says my X-ray looks fine, and I'm just getting more cough syrup." This is the reality for patients in tier 2/3 geographies where clinicians cannot accurately interpret X-rays to detect TB, Pneumonia, or COPD. It impacts patients by delaying life-saving treatment and leads to a 40% misdiagnosis rate, while clinicians struggle with a 7–10 day turnaround time for reports.</t>
  </si>
  <si>
    <t>Today, there is a 7–10 day delay in interpreting chest X-rays, and error rates range from 25% to 40%. Customers want instant, 100% accurate, and quantitative assessments. There is currently no quantitative way to characterize disease severity—doctors just get a "yes/no" rather than knowing exactly how much of the disease is present or how it’s responding to treatment.</t>
  </si>
  <si>
    <t>We conducted over 60 interviews across teleradiology vendors, X-ray machine manufacturers, and pulmonologists. The biggest surprise was that while our original thinking focused on physicians as the primary "paying" customer, the PMR (Primary Market Research) proved that they aren't. The actual demand and willingness to pay come from diagnostic centers and X-ray machine vendors who want to automate interpretation and offer real-time reports as a value-add</t>
  </si>
  <si>
    <t>Early on, we wrongly assumed the "Physician-First" model. We spent time trying to get pulmonologists to prescribe our AI test. We recognized the mistake through direct feedback and PMR when we saw that paying customers were actually the B2B entities like diagnostic chains and machine vendors. We quickly pivoted our business model to focus on licensing to these vendors and offering subscription plans for high-volume diagnostic centers</t>
  </si>
  <si>
    <t>In the next 30 days, we can leverage our established deep-rooted clinical collaborations with premier institutions like SGPGI Lucknow. Unlike a well-funded outsider, we have already validated our algorithms on over 1 million patients. Our unique edge is this massive, high-quality dataset and the trust we have built within the Indian medical community, allowing us to move from pilot to clinical adoption much faster than anyone starting with just capital.Also the fact that Ankit is one of the top AI researchers in Australia and probably in the world and together with me having studied data science from Harvard and Nikhil having studied computer science from IIT Kanpur we are technically extremely sound so the speed at which we create best quality algorithms at a global level is something that cannot be matched by any other regular team .</t>
  </si>
  <si>
    <t>A customer would describe DecXpert® as: "The tool that gives me a specialist-level report in under a minute, right here at my local center". Someone would switch from the current alternative—waiting days for a manual report—because we offer 10x faster turnaround, 98% interpretation accuracy, and the unique ability to quantify disease progression and treatment response, which traditional methods simply cannot do. Moreover the biggest advantage that we offer to our customers is workflow integration we can sit on Prem at any diagnostic center in the remotest of locations in the country and given our plug and play solution it is the most accessible and easy to use solution out there in the market The ease of switching from August our product to another product is going to be very very difficult .Compared to other AI players like Qure.ai, we are vendor-agnostic, more affordable, and can process low-resolution images without expensive PACS infrastructure</t>
  </si>
  <si>
    <t>The hardest problem has been ensuring our AI remains highly accurate (98%) while remaining vendor-agnostic and affordable for the Indian market. A well-funded competitor would find it extremely difficult to replicate our "Disease Clearance and Treatment Monitoring" feature, which tracks if drugs are actually working over time—a capability built on years of clinical data. A well-funded competitor would find it difficult to replicate our clinical validation results, which are based on a cohort of 1 million patients and have been published in prestigious journals like Nature Scientific Reports</t>
  </si>
  <si>
    <t>Our demand is backed by concrete evidence: we have already screened over 10,000 individual patients across 9 projects. We have signed 5 partnerships in India and hold Expressions of Interest (EOIs) to integrate DecXpert® into 80 digital X-ray machines over the next 12 months. Additionally, we are in active discussions for a corporate engagement with GSK to reach 100,000 healthcare professionals.</t>
  </si>
  <si>
    <t xml:space="preserve">Score </t>
  </si>
  <si>
    <t>Comment</t>
  </si>
  <si>
    <t>Possible Iterations</t>
  </si>
  <si>
    <t>Updated data block</t>
  </si>
  <si>
    <t>Non obvious insight tar pit flagged, 0.75 composite score applied</t>
  </si>
  <si>
    <t>New insight</t>
  </si>
  <si>
    <t>When I looked at the Indian education system, I saw that students were carrying paper certificates that were easy to lose and hard to verify. At the same time, the government was pushing policies like the National Academic Depository and the Academic Bank of Credits. Most people saw these as compliance requirements.
My insight was different: I realized that these policies were not just about storage—they were about trust. If credentials could be digitized in a secure, tamper‑proof way, they would become portable across institutions, employers, and even countries. That would change the value of education records from being static documents to becoming living assets in a student’s career journey.
TruScholar was born from this idea: to use blockchain to make credentials verifiable, portable, and future‑proof. What others saw as paperwork, I saw as an opportunity to build trust infrastructure for education and employment.</t>
  </si>
  <si>
    <t>Non obvious insight tar pit flagged, 0.75 composite score applied, 
signal score pivot 0 | 
Q14- 0 (two main differentators)
Q16: 0 (moat)
OpenQ3: 0</t>
  </si>
  <si>
    <t xml:space="preserve">Update Q9: I can only describe a broad category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</si>
</sst>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9">
    <xf numFmtId="0" fontId="0" fillId="0" borderId="0" xfId="0"/>
    <xf numFmtId="0" fontId="16" fillId="0" borderId="0" xfId="0" applyFont="1"/>
    <xf numFmtId="0" fontId="16" fillId="0" borderId="0" xfId="0" applyFont="1" applyAlignment="1">
      <alignment horizontal="center" vertical="center" wrapText="1"/>
    </xf>
    <xf numFmtId="0" fontId="0" fillId="0" borderId="0" xfId="0" applyAlignment="1">
      <alignment vertical="center" wrapText="1"/>
    </xf>
    <xf numFmtId="0" fontId="6" fillId="2" borderId="0" xfId="6"/>
    <xf numFmtId="0" fontId="7" fillId="3" borderId="0" xfId="7"/>
    <xf numFmtId="0" fontId="6" fillId="2" borderId="0" xfId="6" applyAlignment="1"/>
    <xf numFmtId="0" fontId="18" fillId="2" borderId="0" xfId="42" applyFill="1"/>
    <xf numFmtId="0" fontId="0" fillId="0" borderId="0" xfId="0" applyAlignment="1">
      <alignment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ill>
        <patternFill patternType="solid">
          <fgColor rgb="FFC6EFCE"/>
          <bgColor rgb="FFFFFF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linkedin.com/company/unavailable/" TargetMode="External"/><Relationship Id="rId2" Type="http://schemas.openxmlformats.org/officeDocument/2006/relationships/hyperlink" Target="https://drive.google.com/file/d/1J4Gt2Q4qn9_VX63WmZVDLI0-hqlN_95F/view" TargetMode="External"/><Relationship Id="rId1" Type="http://schemas.openxmlformats.org/officeDocument/2006/relationships/hyperlink" Target="https://docs.google.com/presentation/d/1iw3htmRYaFKd5KcsPiax_sm6IT_LJAFt/edit?usp=sharing&amp;ouid=109124012051636894256&amp;rtpof=true&amp;sd=true" TargetMode="External"/><Relationship Id="rId5" Type="http://schemas.openxmlformats.org/officeDocument/2006/relationships/hyperlink" Target="https://www.linkedin.com/company/waypal/" TargetMode="External"/><Relationship Id="rId4" Type="http://schemas.openxmlformats.org/officeDocument/2006/relationships/hyperlink" Target="https://www.linkedin.com/company/carewell36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63A6A-7429-44C2-8E47-4AD328D4FC25}">
  <dimension ref="A1:AO37"/>
  <sheetViews>
    <sheetView tabSelected="1" workbookViewId="0">
      <pane xSplit="4" ySplit="2" topLeftCell="E3" activePane="bottomRight" state="frozen"/>
      <selection pane="bottomRight" activeCell="A11" sqref="A11:XFD11"/>
      <selection pane="bottomLeft" activeCell="A3" sqref="A3"/>
      <selection pane="topRight" activeCell="E1" sqref="E1"/>
    </sheetView>
  </sheetViews>
  <sheetFormatPr defaultRowHeight="14.45"/>
  <cols>
    <col min="14" max="14" width="20.5703125" customWidth="1"/>
  </cols>
  <sheetData>
    <row r="1" spans="1:41">
      <c r="A1" t="s">
        <v>0</v>
      </c>
      <c r="B1" t="s">
        <v>1</v>
      </c>
      <c r="C1" t="s">
        <v>2</v>
      </c>
      <c r="D1" t="s">
        <v>3</v>
      </c>
      <c r="E1" t="s">
        <v>4</v>
      </c>
      <c r="F1" t="s">
        <v>5</v>
      </c>
      <c r="G1" t="s">
        <v>6</v>
      </c>
      <c r="H1" t="s">
        <v>7</v>
      </c>
      <c r="I1" t="s">
        <v>8</v>
      </c>
      <c r="J1" s="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row>
    <row r="2" spans="1:41">
      <c r="A2" s="4" t="s">
        <v>41</v>
      </c>
      <c r="B2" s="4" t="s">
        <v>42</v>
      </c>
      <c r="C2" s="4" t="s">
        <v>43</v>
      </c>
      <c r="D2" s="4" t="s">
        <v>44</v>
      </c>
      <c r="E2" s="4" t="s">
        <v>45</v>
      </c>
      <c r="F2" s="4" t="s">
        <v>46</v>
      </c>
      <c r="G2" s="4">
        <v>1</v>
      </c>
      <c r="H2" s="7" t="s">
        <v>47</v>
      </c>
      <c r="I2" s="4" t="s">
        <v>48</v>
      </c>
      <c r="J2" s="4" t="s">
        <v>49</v>
      </c>
      <c r="K2" s="4" t="s">
        <v>50</v>
      </c>
      <c r="L2" s="4" t="s">
        <v>51</v>
      </c>
      <c r="M2" s="4" t="s">
        <v>52</v>
      </c>
      <c r="N2" s="4" t="s">
        <v>53</v>
      </c>
      <c r="O2" s="4" t="s">
        <v>54</v>
      </c>
      <c r="P2" s="4">
        <v>0</v>
      </c>
      <c r="Q2" s="4" t="s">
        <v>55</v>
      </c>
      <c r="R2" s="4" t="s">
        <v>56</v>
      </c>
      <c r="S2" s="4">
        <v>0</v>
      </c>
      <c r="T2" s="4">
        <v>1</v>
      </c>
      <c r="U2" s="4"/>
      <c r="V2" s="4" t="s">
        <v>57</v>
      </c>
      <c r="W2" s="4" t="s">
        <v>58</v>
      </c>
      <c r="X2" s="4" t="s">
        <v>59</v>
      </c>
      <c r="Y2" s="4" t="s">
        <v>60</v>
      </c>
      <c r="Z2" s="4" t="s">
        <v>61</v>
      </c>
      <c r="AA2" s="4" t="s">
        <v>62</v>
      </c>
      <c r="AB2" s="4" t="s">
        <v>63</v>
      </c>
      <c r="AC2" s="4" t="s">
        <v>64</v>
      </c>
      <c r="AD2" s="4" t="s">
        <v>65</v>
      </c>
      <c r="AE2" s="4" t="s">
        <v>66</v>
      </c>
      <c r="AF2" s="4" t="s">
        <v>67</v>
      </c>
      <c r="AG2" s="4" t="s">
        <v>68</v>
      </c>
      <c r="AH2" s="4" t="s">
        <v>69</v>
      </c>
      <c r="AI2" s="4" t="s">
        <v>70</v>
      </c>
      <c r="AJ2" s="4" t="s">
        <v>71</v>
      </c>
      <c r="AK2" s="4" t="s">
        <v>72</v>
      </c>
      <c r="AL2" s="4" t="s">
        <v>73</v>
      </c>
      <c r="AM2" s="4" t="s">
        <v>74</v>
      </c>
      <c r="AN2" s="4" t="s">
        <v>75</v>
      </c>
      <c r="AO2" s="4" t="s">
        <v>76</v>
      </c>
    </row>
    <row r="3" spans="1:41" s="1" customFormat="1">
      <c r="A3" s="4" t="s">
        <v>77</v>
      </c>
      <c r="B3" s="4" t="s">
        <v>42</v>
      </c>
      <c r="C3" s="4" t="s">
        <v>43</v>
      </c>
      <c r="D3" s="4" t="s">
        <v>78</v>
      </c>
      <c r="E3" s="4" t="s">
        <v>79</v>
      </c>
      <c r="F3" s="6" t="s">
        <v>80</v>
      </c>
      <c r="G3" s="4">
        <v>3</v>
      </c>
      <c r="H3" s="4" t="s">
        <v>81</v>
      </c>
      <c r="I3" s="4" t="s">
        <v>82</v>
      </c>
      <c r="J3" s="4" t="s">
        <v>83</v>
      </c>
      <c r="K3" s="4" t="s">
        <v>84</v>
      </c>
      <c r="L3" s="4" t="s">
        <v>85</v>
      </c>
      <c r="M3" s="4" t="s">
        <v>86</v>
      </c>
      <c r="N3" s="4" t="s">
        <v>53</v>
      </c>
      <c r="O3" s="4" t="s">
        <v>87</v>
      </c>
      <c r="P3" s="4" t="s">
        <v>88</v>
      </c>
      <c r="Q3" s="4" t="s">
        <v>89</v>
      </c>
      <c r="R3" s="4" t="s">
        <v>90</v>
      </c>
      <c r="S3" s="4">
        <v>0</v>
      </c>
      <c r="T3" s="4">
        <v>1</v>
      </c>
      <c r="U3" s="4">
        <v>20</v>
      </c>
      <c r="V3" s="4" t="s">
        <v>91</v>
      </c>
      <c r="W3" s="4" t="s">
        <v>58</v>
      </c>
      <c r="X3" s="4" t="s">
        <v>59</v>
      </c>
      <c r="Y3" s="4" t="s">
        <v>60</v>
      </c>
      <c r="Z3" s="4" t="s">
        <v>92</v>
      </c>
      <c r="AA3" s="4" t="s">
        <v>62</v>
      </c>
      <c r="AB3" s="4" t="s">
        <v>63</v>
      </c>
      <c r="AC3" s="4" t="s">
        <v>64</v>
      </c>
      <c r="AD3" s="4" t="s">
        <v>93</v>
      </c>
      <c r="AE3" s="4" t="s">
        <v>66</v>
      </c>
      <c r="AF3" s="6" t="s">
        <v>94</v>
      </c>
      <c r="AG3" s="4" t="s">
        <v>95</v>
      </c>
      <c r="AH3" s="4" t="s">
        <v>96</v>
      </c>
      <c r="AI3" s="4" t="s">
        <v>97</v>
      </c>
      <c r="AJ3" s="4" t="s">
        <v>98</v>
      </c>
      <c r="AK3" s="4" t="s">
        <v>99</v>
      </c>
      <c r="AL3" s="4" t="s">
        <v>100</v>
      </c>
      <c r="AM3" s="4" t="s">
        <v>101</v>
      </c>
      <c r="AN3" s="4" t="s">
        <v>102</v>
      </c>
      <c r="AO3" s="6" t="s">
        <v>103</v>
      </c>
    </row>
    <row r="4" spans="1:41">
      <c r="A4" s="4" t="s">
        <v>104</v>
      </c>
      <c r="B4" s="4" t="s">
        <v>105</v>
      </c>
      <c r="C4" s="4" t="s">
        <v>106</v>
      </c>
      <c r="D4" s="4" t="s">
        <v>107</v>
      </c>
      <c r="E4" s="4" t="s">
        <v>108</v>
      </c>
      <c r="F4" s="4" t="s">
        <v>109</v>
      </c>
      <c r="G4" s="4">
        <v>1</v>
      </c>
      <c r="H4" s="4" t="s">
        <v>110</v>
      </c>
      <c r="I4" s="4" t="s">
        <v>111</v>
      </c>
      <c r="J4" s="4" t="s">
        <v>83</v>
      </c>
      <c r="K4" s="4" t="s">
        <v>112</v>
      </c>
      <c r="L4" s="4" t="s">
        <v>113</v>
      </c>
      <c r="M4" s="4" t="s">
        <v>114</v>
      </c>
      <c r="N4" s="4" t="s">
        <v>53</v>
      </c>
      <c r="O4" s="4" t="s">
        <v>115</v>
      </c>
      <c r="P4" s="4">
        <v>0</v>
      </c>
      <c r="Q4" s="4" t="s">
        <v>55</v>
      </c>
      <c r="R4" s="4" t="s">
        <v>56</v>
      </c>
      <c r="S4" s="4">
        <v>0</v>
      </c>
      <c r="T4" s="4">
        <v>0</v>
      </c>
      <c r="U4" s="4">
        <v>180</v>
      </c>
      <c r="V4" s="4" t="s">
        <v>116</v>
      </c>
      <c r="W4" s="4" t="s">
        <v>58</v>
      </c>
      <c r="X4" s="4" t="s">
        <v>117</v>
      </c>
      <c r="Y4" s="4" t="s">
        <v>60</v>
      </c>
      <c r="Z4" s="4">
        <f>Z26</f>
        <v>0</v>
      </c>
      <c r="AA4" s="4" t="s">
        <v>118</v>
      </c>
      <c r="AB4" s="4">
        <f>AB20</f>
        <v>0</v>
      </c>
      <c r="AC4" s="4">
        <f>AC19</f>
        <v>0</v>
      </c>
      <c r="AD4" s="4" t="s">
        <v>119</v>
      </c>
      <c r="AE4" s="4">
        <f>AE18</f>
        <v>0</v>
      </c>
      <c r="AF4" s="4" t="s">
        <v>120</v>
      </c>
      <c r="AG4" s="4" t="s">
        <v>121</v>
      </c>
      <c r="AH4" s="4" t="s">
        <v>122</v>
      </c>
      <c r="AI4" s="4" t="s">
        <v>123</v>
      </c>
      <c r="AJ4" s="4" t="s">
        <v>124</v>
      </c>
      <c r="AK4" s="4" t="s">
        <v>125</v>
      </c>
      <c r="AL4" s="4" t="s">
        <v>126</v>
      </c>
      <c r="AM4" s="4" t="s">
        <v>127</v>
      </c>
      <c r="AN4" s="4" t="s">
        <v>128</v>
      </c>
      <c r="AO4" s="4" t="s">
        <v>129</v>
      </c>
    </row>
    <row r="5" spans="1:41" s="1" customFormat="1">
      <c r="A5" s="4" t="s">
        <v>130</v>
      </c>
      <c r="B5" s="4" t="s">
        <v>42</v>
      </c>
      <c r="C5" s="4" t="s">
        <v>43</v>
      </c>
      <c r="D5" s="4" t="s">
        <v>131</v>
      </c>
      <c r="E5" s="4" t="s">
        <v>132</v>
      </c>
      <c r="F5" s="4" t="s">
        <v>133</v>
      </c>
      <c r="G5" s="4">
        <v>2</v>
      </c>
      <c r="H5" s="4" t="s">
        <v>134</v>
      </c>
      <c r="I5" s="4" t="s">
        <v>135</v>
      </c>
      <c r="J5" s="4" t="s">
        <v>83</v>
      </c>
      <c r="K5" s="4" t="s">
        <v>136</v>
      </c>
      <c r="L5" s="4" t="s">
        <v>137</v>
      </c>
      <c r="M5" s="4" t="s">
        <v>138</v>
      </c>
      <c r="N5" s="4" t="s">
        <v>139</v>
      </c>
      <c r="O5" s="4" t="s">
        <v>140</v>
      </c>
      <c r="P5" s="4" t="s">
        <v>141</v>
      </c>
      <c r="Q5" s="4" t="s">
        <v>142</v>
      </c>
      <c r="R5" s="4" t="s">
        <v>56</v>
      </c>
      <c r="S5" s="4">
        <v>1200</v>
      </c>
      <c r="T5" s="4">
        <v>0</v>
      </c>
      <c r="U5" s="4">
        <v>20</v>
      </c>
      <c r="V5" s="4" t="s">
        <v>143</v>
      </c>
      <c r="W5" s="4" t="s">
        <v>144</v>
      </c>
      <c r="X5" s="4" t="s">
        <v>117</v>
      </c>
      <c r="Y5" s="4" t="s">
        <v>60</v>
      </c>
      <c r="Z5" s="4" t="s">
        <v>61</v>
      </c>
      <c r="AA5" s="4" t="s">
        <v>145</v>
      </c>
      <c r="AB5" s="4" t="s">
        <v>63</v>
      </c>
      <c r="AC5" s="4" t="s">
        <v>146</v>
      </c>
      <c r="AD5" s="4" t="s">
        <v>147</v>
      </c>
      <c r="AE5" s="4" t="s">
        <v>148</v>
      </c>
      <c r="AF5" s="4" t="s">
        <v>149</v>
      </c>
      <c r="AG5" s="4" t="s">
        <v>150</v>
      </c>
      <c r="AH5" s="4" t="s">
        <v>151</v>
      </c>
      <c r="AI5" s="4" t="s">
        <v>152</v>
      </c>
      <c r="AJ5" s="4" t="s">
        <v>153</v>
      </c>
      <c r="AK5" s="4" t="s">
        <v>154</v>
      </c>
      <c r="AL5" s="4" t="s">
        <v>155</v>
      </c>
      <c r="AM5" s="4" t="s">
        <v>156</v>
      </c>
      <c r="AN5" s="4" t="s">
        <v>157</v>
      </c>
      <c r="AO5" s="6" t="s">
        <v>158</v>
      </c>
    </row>
    <row r="6" spans="1:41" s="1" customFormat="1" ht="15">
      <c r="A6" s="4" t="s">
        <v>159</v>
      </c>
      <c r="B6" s="4" t="s">
        <v>42</v>
      </c>
      <c r="C6" s="4" t="s">
        <v>43</v>
      </c>
      <c r="D6" s="4" t="s">
        <v>160</v>
      </c>
      <c r="E6" s="4" t="s">
        <v>161</v>
      </c>
      <c r="F6" s="4" t="s">
        <v>162</v>
      </c>
      <c r="G6" s="4">
        <v>2</v>
      </c>
      <c r="H6" s="7" t="s">
        <v>163</v>
      </c>
      <c r="I6" s="4" t="s">
        <v>164</v>
      </c>
      <c r="J6" s="4" t="s">
        <v>83</v>
      </c>
      <c r="K6" s="4" t="s">
        <v>165</v>
      </c>
      <c r="L6" s="4" t="s">
        <v>166</v>
      </c>
      <c r="M6" s="4" t="s">
        <v>167</v>
      </c>
      <c r="N6" s="4" t="s">
        <v>139</v>
      </c>
      <c r="O6" s="4" t="s">
        <v>168</v>
      </c>
      <c r="P6" s="4" t="s">
        <v>88</v>
      </c>
      <c r="Q6" s="4" t="s">
        <v>169</v>
      </c>
      <c r="R6" s="4" t="s">
        <v>170</v>
      </c>
      <c r="S6" s="4">
        <v>0</v>
      </c>
      <c r="T6" s="4" t="s">
        <v>171</v>
      </c>
      <c r="U6" s="4">
        <v>30</v>
      </c>
      <c r="V6" s="4" t="s">
        <v>172</v>
      </c>
      <c r="W6" s="4" t="s">
        <v>144</v>
      </c>
      <c r="X6" s="4" t="s">
        <v>117</v>
      </c>
      <c r="Y6" s="4" t="s">
        <v>173</v>
      </c>
      <c r="Z6" s="4" t="s">
        <v>174</v>
      </c>
      <c r="AA6" s="4" t="s">
        <v>175</v>
      </c>
      <c r="AB6" s="4">
        <f>AB20</f>
        <v>0</v>
      </c>
      <c r="AC6" s="4" t="s">
        <v>176</v>
      </c>
      <c r="AD6" s="4">
        <f>AD18</f>
        <v>0</v>
      </c>
      <c r="AE6" s="4" t="s">
        <v>148</v>
      </c>
      <c r="AF6" s="4" t="s">
        <v>177</v>
      </c>
      <c r="AG6" s="4" t="s">
        <v>178</v>
      </c>
      <c r="AH6" s="4" t="s">
        <v>179</v>
      </c>
      <c r="AI6" s="4" t="s">
        <v>180</v>
      </c>
      <c r="AJ6" s="4" t="s">
        <v>181</v>
      </c>
      <c r="AK6" s="4" t="s">
        <v>182</v>
      </c>
      <c r="AL6" s="4" t="s">
        <v>183</v>
      </c>
      <c r="AM6" s="4" t="s">
        <v>184</v>
      </c>
      <c r="AN6" s="4" t="s">
        <v>185</v>
      </c>
      <c r="AO6" s="4" t="s">
        <v>186</v>
      </c>
    </row>
    <row r="7" spans="1:41">
      <c r="A7" s="4" t="s">
        <v>187</v>
      </c>
      <c r="B7" s="4" t="s">
        <v>105</v>
      </c>
      <c r="C7" s="4" t="s">
        <v>106</v>
      </c>
      <c r="D7" s="4" t="s">
        <v>188</v>
      </c>
      <c r="E7" s="4" t="s">
        <v>189</v>
      </c>
      <c r="F7" s="4" t="s">
        <v>190</v>
      </c>
      <c r="G7" s="4">
        <v>2</v>
      </c>
      <c r="H7" s="4" t="s">
        <v>191</v>
      </c>
      <c r="I7" s="4" t="s">
        <v>192</v>
      </c>
      <c r="J7" s="4" t="s">
        <v>83</v>
      </c>
      <c r="K7" s="4" t="s">
        <v>193</v>
      </c>
      <c r="L7" s="4" t="s">
        <v>194</v>
      </c>
      <c r="M7" s="4" t="s">
        <v>195</v>
      </c>
      <c r="N7" s="4" t="s">
        <v>53</v>
      </c>
      <c r="O7" s="4">
        <v>120</v>
      </c>
      <c r="P7" s="4">
        <v>2</v>
      </c>
      <c r="Q7" s="4" t="s">
        <v>169</v>
      </c>
      <c r="R7" s="4" t="s">
        <v>196</v>
      </c>
      <c r="S7" s="4">
        <v>0</v>
      </c>
      <c r="T7" s="4" t="s">
        <v>171</v>
      </c>
      <c r="U7" s="4">
        <v>50</v>
      </c>
      <c r="V7" s="4" t="s">
        <v>197</v>
      </c>
      <c r="W7" s="4" t="s">
        <v>198</v>
      </c>
      <c r="X7" s="4" t="s">
        <v>199</v>
      </c>
      <c r="Y7" s="4" t="s">
        <v>60</v>
      </c>
      <c r="Z7" s="4" t="s">
        <v>61</v>
      </c>
      <c r="AA7" s="4" t="s">
        <v>200</v>
      </c>
      <c r="AB7" s="4" t="s">
        <v>201</v>
      </c>
      <c r="AC7" s="4" t="s">
        <v>202</v>
      </c>
      <c r="AD7" s="4" t="s">
        <v>147</v>
      </c>
      <c r="AE7" s="4" t="s">
        <v>148</v>
      </c>
      <c r="AF7" s="4" t="s">
        <v>203</v>
      </c>
      <c r="AG7" s="4" t="s">
        <v>204</v>
      </c>
      <c r="AH7" s="4" t="s">
        <v>205</v>
      </c>
      <c r="AI7" s="4" t="s">
        <v>206</v>
      </c>
      <c r="AJ7" s="4" t="s">
        <v>207</v>
      </c>
      <c r="AK7" s="4" t="s">
        <v>208</v>
      </c>
      <c r="AL7" s="4" t="s">
        <v>209</v>
      </c>
      <c r="AM7" s="4" t="s">
        <v>210</v>
      </c>
      <c r="AN7" s="4" t="s">
        <v>211</v>
      </c>
      <c r="AO7" s="4" t="s">
        <v>212</v>
      </c>
    </row>
    <row r="8" spans="1:41" s="1" customFormat="1" ht="14.1" customHeight="1">
      <c r="A8" s="4" t="s">
        <v>213</v>
      </c>
      <c r="B8" s="4" t="s">
        <v>42</v>
      </c>
      <c r="C8" s="4" t="s">
        <v>214</v>
      </c>
      <c r="D8" s="4" t="s">
        <v>215</v>
      </c>
      <c r="E8" s="4" t="s">
        <v>216</v>
      </c>
      <c r="F8" s="4" t="s">
        <v>217</v>
      </c>
      <c r="G8" s="4">
        <v>3</v>
      </c>
      <c r="H8" s="4" t="s">
        <v>218</v>
      </c>
      <c r="I8" s="4" t="s">
        <v>219</v>
      </c>
      <c r="J8" s="4" t="s">
        <v>83</v>
      </c>
      <c r="K8" s="4" t="s">
        <v>220</v>
      </c>
      <c r="L8" s="4" t="s">
        <v>221</v>
      </c>
      <c r="M8" s="4" t="s">
        <v>222</v>
      </c>
      <c r="N8" s="4" t="s">
        <v>139</v>
      </c>
      <c r="O8" s="4" t="s">
        <v>223</v>
      </c>
      <c r="P8" s="4" t="s">
        <v>224</v>
      </c>
      <c r="Q8" s="4" t="s">
        <v>225</v>
      </c>
      <c r="R8" s="4" t="s">
        <v>226</v>
      </c>
      <c r="S8" s="4">
        <v>0</v>
      </c>
      <c r="T8" s="4">
        <v>1</v>
      </c>
      <c r="U8" s="4"/>
      <c r="V8" s="4" t="s">
        <v>227</v>
      </c>
      <c r="W8" s="4" t="s">
        <v>228</v>
      </c>
      <c r="X8" s="4" t="s">
        <v>117</v>
      </c>
      <c r="Y8" s="4" t="s">
        <v>60</v>
      </c>
      <c r="Z8" s="4" t="s">
        <v>229</v>
      </c>
      <c r="AA8" s="4" t="s">
        <v>62</v>
      </c>
      <c r="AB8" s="4" t="s">
        <v>201</v>
      </c>
      <c r="AC8" s="4" t="s">
        <v>230</v>
      </c>
      <c r="AD8" s="4" t="s">
        <v>147</v>
      </c>
      <c r="AE8" s="4" t="s">
        <v>231</v>
      </c>
      <c r="AF8" s="4" t="s">
        <v>232</v>
      </c>
      <c r="AG8" s="4" t="s">
        <v>233</v>
      </c>
      <c r="AH8" s="4" t="s">
        <v>234</v>
      </c>
      <c r="AI8" s="4" t="s">
        <v>235</v>
      </c>
      <c r="AJ8" s="4" t="s">
        <v>236</v>
      </c>
      <c r="AK8" s="4" t="s">
        <v>237</v>
      </c>
      <c r="AL8" s="4" t="s">
        <v>238</v>
      </c>
      <c r="AM8" s="4" t="s">
        <v>239</v>
      </c>
      <c r="AN8" s="4" t="s">
        <v>240</v>
      </c>
      <c r="AO8" s="4" t="s">
        <v>241</v>
      </c>
    </row>
    <row r="9" spans="1:41" s="1" customFormat="1" ht="15">
      <c r="A9" s="4" t="s">
        <v>242</v>
      </c>
      <c r="B9" s="4" t="s">
        <v>42</v>
      </c>
      <c r="C9" s="4" t="s">
        <v>43</v>
      </c>
      <c r="D9" s="4" t="s">
        <v>243</v>
      </c>
      <c r="E9" s="4" t="s">
        <v>244</v>
      </c>
      <c r="F9" s="4" t="s">
        <v>245</v>
      </c>
      <c r="G9" s="4">
        <v>1</v>
      </c>
      <c r="H9" s="7" t="s">
        <v>246</v>
      </c>
      <c r="I9" s="4" t="s">
        <v>247</v>
      </c>
      <c r="J9" s="4" t="s">
        <v>83</v>
      </c>
      <c r="K9" s="4" t="s">
        <v>248</v>
      </c>
      <c r="L9" s="4" t="s">
        <v>249</v>
      </c>
      <c r="M9" s="4" t="s">
        <v>250</v>
      </c>
      <c r="N9" s="4" t="s">
        <v>139</v>
      </c>
      <c r="O9" s="4">
        <v>0</v>
      </c>
      <c r="P9" s="4">
        <v>0</v>
      </c>
      <c r="Q9" s="4" t="s">
        <v>55</v>
      </c>
      <c r="R9" s="4" t="s">
        <v>196</v>
      </c>
      <c r="S9" s="4">
        <v>0</v>
      </c>
      <c r="T9" s="4" t="s">
        <v>171</v>
      </c>
      <c r="U9" s="4">
        <v>20</v>
      </c>
      <c r="V9" s="4" t="s">
        <v>251</v>
      </c>
      <c r="W9" s="4" t="s">
        <v>252</v>
      </c>
      <c r="X9" s="4" t="s">
        <v>253</v>
      </c>
      <c r="Y9" s="4" t="s">
        <v>60</v>
      </c>
      <c r="Z9" s="4" t="s">
        <v>254</v>
      </c>
      <c r="AA9" s="4" t="s">
        <v>62</v>
      </c>
      <c r="AB9" s="4">
        <f>AB21</f>
        <v>0</v>
      </c>
      <c r="AC9" s="4" t="s">
        <v>202</v>
      </c>
      <c r="AD9" s="4" t="s">
        <v>93</v>
      </c>
      <c r="AE9" s="4" t="s">
        <v>255</v>
      </c>
      <c r="AF9" s="4" t="s">
        <v>256</v>
      </c>
      <c r="AG9" s="4" t="s">
        <v>257</v>
      </c>
      <c r="AH9" s="4" t="s">
        <v>258</v>
      </c>
      <c r="AI9" s="4" t="s">
        <v>259</v>
      </c>
      <c r="AJ9" s="4" t="s">
        <v>260</v>
      </c>
      <c r="AK9" s="4" t="s">
        <v>261</v>
      </c>
      <c r="AL9" s="4" t="s">
        <v>262</v>
      </c>
      <c r="AM9" s="4" t="s">
        <v>263</v>
      </c>
      <c r="AN9" s="4" t="s">
        <v>264</v>
      </c>
      <c r="AO9" s="4" t="s">
        <v>265</v>
      </c>
    </row>
    <row r="10" spans="1:41">
      <c r="A10" s="4" t="s">
        <v>266</v>
      </c>
      <c r="B10" s="4" t="s">
        <v>267</v>
      </c>
      <c r="C10" s="4" t="s">
        <v>214</v>
      </c>
      <c r="D10" s="4" t="s">
        <v>268</v>
      </c>
      <c r="E10" s="4" t="s">
        <v>269</v>
      </c>
      <c r="F10" s="4" t="s">
        <v>270</v>
      </c>
      <c r="G10" s="4">
        <v>3</v>
      </c>
      <c r="H10" s="4" t="s">
        <v>271</v>
      </c>
      <c r="I10" s="4" t="s">
        <v>272</v>
      </c>
      <c r="J10" s="4" t="s">
        <v>83</v>
      </c>
      <c r="K10" s="4" t="s">
        <v>273</v>
      </c>
      <c r="L10" s="4" t="s">
        <v>274</v>
      </c>
      <c r="M10" s="4" t="s">
        <v>275</v>
      </c>
      <c r="N10" s="4" t="s">
        <v>53</v>
      </c>
      <c r="O10" s="4" t="s">
        <v>223</v>
      </c>
      <c r="P10" s="4" t="s">
        <v>276</v>
      </c>
      <c r="Q10" s="4" t="s">
        <v>225</v>
      </c>
      <c r="R10" s="4" t="s">
        <v>56</v>
      </c>
      <c r="S10" s="4">
        <v>0</v>
      </c>
      <c r="T10" s="4" t="s">
        <v>277</v>
      </c>
      <c r="U10" s="4">
        <v>5</v>
      </c>
      <c r="V10" s="4" t="s">
        <v>278</v>
      </c>
      <c r="W10" s="4" t="s">
        <v>252</v>
      </c>
      <c r="X10" s="4" t="s">
        <v>253</v>
      </c>
      <c r="Y10" s="4" t="s">
        <v>60</v>
      </c>
      <c r="Z10" s="4" t="s">
        <v>61</v>
      </c>
      <c r="AA10" s="4" t="s">
        <v>279</v>
      </c>
      <c r="AB10" s="4" t="s">
        <v>201</v>
      </c>
      <c r="AC10" s="4" t="s">
        <v>280</v>
      </c>
      <c r="AD10" s="4" t="s">
        <v>93</v>
      </c>
      <c r="AE10" s="4" t="s">
        <v>66</v>
      </c>
      <c r="AF10" s="4" t="s">
        <v>281</v>
      </c>
      <c r="AG10" s="4" t="s">
        <v>282</v>
      </c>
      <c r="AH10" s="4" t="s">
        <v>283</v>
      </c>
      <c r="AI10" s="4" t="s">
        <v>284</v>
      </c>
      <c r="AJ10" s="4" t="s">
        <v>285</v>
      </c>
      <c r="AK10" s="4" t="s">
        <v>286</v>
      </c>
      <c r="AL10" s="4" t="s">
        <v>287</v>
      </c>
      <c r="AM10" s="4" t="s">
        <v>288</v>
      </c>
      <c r="AN10" s="4" t="s">
        <v>289</v>
      </c>
      <c r="AO10" s="4" t="s">
        <v>290</v>
      </c>
    </row>
    <row r="11" spans="1:41" ht="15">
      <c r="A11" s="4"/>
      <c r="B11" s="4"/>
      <c r="C11" s="4"/>
      <c r="D11" s="4"/>
      <c r="E11" s="4"/>
      <c r="F11" s="4"/>
      <c r="G11" s="4"/>
      <c r="H11" s="7"/>
      <c r="I11" s="4"/>
      <c r="J11" s="4"/>
      <c r="K11" s="4"/>
      <c r="L11" s="4"/>
      <c r="M11" s="4"/>
      <c r="N11" s="4"/>
      <c r="O11" s="4"/>
      <c r="P11" s="4"/>
      <c r="Q11" s="4"/>
      <c r="R11" s="4"/>
      <c r="S11" s="4"/>
      <c r="T11" s="4"/>
      <c r="U11" s="4"/>
      <c r="V11" s="4"/>
      <c r="W11" s="4"/>
      <c r="X11" s="4"/>
      <c r="Y11" s="4"/>
      <c r="Z11" s="4"/>
      <c r="AA11" s="6"/>
      <c r="AB11" s="4"/>
      <c r="AC11" s="4"/>
      <c r="AD11" s="4"/>
      <c r="AE11" s="4"/>
      <c r="AF11" s="4"/>
      <c r="AG11" s="4"/>
      <c r="AH11" s="4"/>
      <c r="AI11" s="4"/>
      <c r="AJ11" s="4"/>
      <c r="AK11" s="4"/>
      <c r="AL11" s="4"/>
      <c r="AM11" s="4"/>
      <c r="AN11" s="4"/>
      <c r="AO11" s="4"/>
    </row>
    <row r="12" spans="1:41">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row>
    <row r="13" spans="1:4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row>
    <row r="14" spans="1:41">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row>
    <row r="15" spans="1:41">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row>
    <row r="16" spans="1:41">
      <c r="R16" s="4"/>
    </row>
    <row r="25" spans="24:25" ht="15">
      <c r="X25" s="2"/>
      <c r="Y25" s="2"/>
    </row>
    <row r="26" spans="24:25" ht="15">
      <c r="X26" s="3"/>
      <c r="Y26" s="3"/>
    </row>
    <row r="27" spans="24:25" ht="15">
      <c r="X27" s="3"/>
      <c r="Y27" s="3"/>
    </row>
    <row r="28" spans="24:25" ht="15">
      <c r="X28" s="3"/>
      <c r="Y28" s="3"/>
    </row>
    <row r="29" spans="24:25" ht="15">
      <c r="X29" s="3"/>
      <c r="Y29" s="3"/>
    </row>
    <row r="30" spans="24:25" ht="15">
      <c r="X30" s="3"/>
      <c r="Y30" s="3"/>
    </row>
    <row r="31" spans="24:25" ht="15">
      <c r="X31" s="3"/>
      <c r="Y31" s="3"/>
    </row>
    <row r="32" spans="24:25" ht="15">
      <c r="X32" s="3"/>
      <c r="Y32" s="3"/>
    </row>
    <row r="33" spans="24:25">
      <c r="X33" s="3"/>
      <c r="Y33" s="3"/>
    </row>
    <row r="34" spans="24:25">
      <c r="X34" s="3"/>
      <c r="Y34" s="3"/>
    </row>
    <row r="35" spans="24:25" ht="15"/>
    <row r="36" spans="24:25" ht="15"/>
    <row r="37" spans="24:25" ht="15"/>
  </sheetData>
  <autoFilter ref="A1:AO32" xr:uid="{7B263A6A-7429-44C2-8E47-4AD328D4FC25}">
    <sortState xmlns:xlrd2="http://schemas.microsoft.com/office/spreadsheetml/2017/richdata2" ref="A2:AO17">
      <sortCondition sortBy="cellColor" ref="A1:A16" dxfId="0"/>
    </sortState>
  </autoFilter>
  <dataConsolidate/>
  <dataValidations count="9">
    <dataValidation type="list" allowBlank="1" showInputMessage="1" showErrorMessage="1" sqref="V13:V14 V9 V11 V2" xr:uid="{AC241E12-84A6-4286-91E9-3F40C509CA4E}">
      <formula1>$V$20:$V$21</formula1>
    </dataValidation>
    <dataValidation type="list" allowBlank="1" showInputMessage="1" showErrorMessage="1" sqref="W13:W15 W2 W11 W6:W8" xr:uid="{4AEF9B0D-99B3-44A1-8312-B4138E398474}">
      <formula1>$W$20:$W$23</formula1>
    </dataValidation>
    <dataValidation type="list" allowBlank="1" showInputMessage="1" showErrorMessage="1" sqref="X9" xr:uid="{FFA0BCFD-B661-4D27-841E-F741EB069A63}">
      <formula1>$X$20:$X$23</formula1>
    </dataValidation>
    <dataValidation type="list" allowBlank="1" showInputMessage="1" showErrorMessage="1" sqref="Z9" xr:uid="{FE90849E-C7AA-4969-B5DF-B322D174FFFD}">
      <formula1>$Z$20:$Z$28</formula1>
    </dataValidation>
    <dataValidation type="list" allowBlank="1" showInputMessage="1" showErrorMessage="1" sqref="AD9" xr:uid="{CFAC6C25-620A-4960-9670-6B7DBB3F000A}">
      <formula1>$AD$20:$AD$24</formula1>
    </dataValidation>
    <dataValidation type="list" allowBlank="1" showInputMessage="1" showErrorMessage="1" sqref="AE9" xr:uid="{30EB08D5-A169-4F0E-9ECF-48CF0AC724E1}">
      <formula1>$AE$20:$AE$23</formula1>
    </dataValidation>
    <dataValidation type="list" allowBlank="1" showInputMessage="1" showErrorMessage="1" sqref="AB9" xr:uid="{4277C1A1-6BFA-46B3-98EE-8F47940020DB}">
      <formula1>$AB$20:$AB$24</formula1>
    </dataValidation>
    <dataValidation type="list" allowBlank="1" showInputMessage="1" showErrorMessage="1" sqref="N2:N15" xr:uid="{1629AC08-11A6-4A69-A054-328D2DA54AE5}">
      <formula1>$N$20:$N$22</formula1>
    </dataValidation>
    <dataValidation type="list" allowBlank="1" showInputMessage="1" showErrorMessage="1" sqref="Q2:Q15" xr:uid="{BE0BA3E0-7544-4551-8670-4690B7ADEC46}">
      <formula1>$Q$19:$Q$25</formula1>
    </dataValidation>
  </dataValidations>
  <hyperlinks>
    <hyperlink ref="M9" r:id="rId1" xr:uid="{0CC6803C-C2C2-426C-A00F-3C4CB2ACD3F1}"/>
    <hyperlink ref="M5" r:id="rId2" xr:uid="{6D41D448-5481-41B8-B2D6-78216CF21A20}"/>
    <hyperlink ref="H2" r:id="rId3" xr:uid="{017EEC00-D306-425F-ACB1-479CDBB9D232}"/>
    <hyperlink ref="H6" r:id="rId4" xr:uid="{5017FDEB-06C0-4FC5-9585-B61EDDDB2666}"/>
    <hyperlink ref="H9" r:id="rId5" xr:uid="{7081A271-621B-46C1-A8EF-61B66282EE8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932BC-09FC-4EDF-940A-9365D5BA81F3}">
  <dimension ref="A1:F21"/>
  <sheetViews>
    <sheetView workbookViewId="0">
      <selection activeCell="C12" sqref="C12"/>
    </sheetView>
  </sheetViews>
  <sheetFormatPr defaultRowHeight="14.45"/>
  <cols>
    <col min="1" max="1" width="20.28515625" bestFit="1" customWidth="1"/>
    <col min="3" max="4" width="52" customWidth="1"/>
  </cols>
  <sheetData>
    <row r="1" spans="1:6">
      <c r="A1" t="str">
        <f>startup_master_comprehensive_da!A1</f>
        <v>Brand Name</v>
      </c>
      <c r="B1" t="s">
        <v>291</v>
      </c>
      <c r="C1" t="s">
        <v>292</v>
      </c>
      <c r="D1" t="s">
        <v>293</v>
      </c>
      <c r="E1" t="s">
        <v>294</v>
      </c>
    </row>
    <row r="2" spans="1:6">
      <c r="A2" t="str">
        <f>startup_master_comprehensive_da!A2</f>
        <v>Tensor Dynamics</v>
      </c>
      <c r="B2">
        <v>35</v>
      </c>
    </row>
    <row r="3" spans="1:6">
      <c r="A3" t="e">
        <f>startup_master_comprehensive_da!#REF!</f>
        <v>#REF!</v>
      </c>
      <c r="B3">
        <v>34</v>
      </c>
      <c r="C3" t="s">
        <v>295</v>
      </c>
      <c r="D3" t="s">
        <v>296</v>
      </c>
      <c r="E3" t="s">
        <v>297</v>
      </c>
    </row>
    <row r="4" spans="1:6">
      <c r="A4" t="str">
        <f>startup_master_comprehensive_da!A3</f>
        <v>Ayudyog</v>
      </c>
    </row>
    <row r="5" spans="1:6">
      <c r="A5" t="str">
        <f>startup_master_comprehensive_da!A4</f>
        <v>Intellewings</v>
      </c>
    </row>
    <row r="6" spans="1:6">
      <c r="A6" t="e">
        <f>startup_master_comprehensive_da!#REF!</f>
        <v>#REF!</v>
      </c>
    </row>
    <row r="7" spans="1:6">
      <c r="A7" t="str">
        <f>startup_master_comprehensive_da!A5</f>
        <v>Wegomeds</v>
      </c>
    </row>
    <row r="8" spans="1:6">
      <c r="A8" t="str">
        <f>startup_master_comprehensive_da!A6</f>
        <v>Carewell 360</v>
      </c>
    </row>
    <row r="9" spans="1:6">
      <c r="A9" t="str">
        <f>startup_master_comprehensive_da!A7</f>
        <v>Flixdrop</v>
      </c>
      <c r="C9">
        <v>0.75</v>
      </c>
      <c r="E9">
        <v>23</v>
      </c>
      <c r="F9">
        <f>E9/C9</f>
        <v>30.666666666666668</v>
      </c>
    </row>
    <row r="10" spans="1:6">
      <c r="A10" t="str">
        <f>startup_master_comprehensive_da!A8</f>
        <v>Starbase</v>
      </c>
      <c r="E10">
        <v>34</v>
      </c>
      <c r="F10">
        <f>E10/C9</f>
        <v>45.333333333333336</v>
      </c>
    </row>
    <row r="11" spans="1:6">
      <c r="A11" t="str">
        <f>startup_master_comprehensive_da!A9</f>
        <v>Waypal</v>
      </c>
    </row>
    <row r="12" spans="1:6" ht="87">
      <c r="A12" t="str">
        <f>startup_master_comprehensive_da!A10</f>
        <v>Dectrocel</v>
      </c>
      <c r="B12">
        <v>23</v>
      </c>
      <c r="C12" s="8" t="s">
        <v>298</v>
      </c>
      <c r="D12" s="8" t="s">
        <v>299</v>
      </c>
    </row>
    <row r="13" spans="1:6">
      <c r="A13" t="e">
        <f>startup_master_comprehensive_da!#REF!</f>
        <v>#REF!</v>
      </c>
    </row>
    <row r="14" spans="1:6">
      <c r="A14">
        <f>startup_master_comprehensive_da!A11</f>
        <v>0</v>
      </c>
    </row>
    <row r="15" spans="1:6">
      <c r="A15">
        <f>startup_master_comprehensive_da!A12</f>
        <v>0</v>
      </c>
    </row>
    <row r="16" spans="1:6">
      <c r="A16">
        <f>startup_master_comprehensive_da!A13</f>
        <v>0</v>
      </c>
    </row>
    <row r="17" spans="1:1">
      <c r="A17">
        <f>startup_master_comprehensive_da!A14</f>
        <v>0</v>
      </c>
    </row>
    <row r="18" spans="1:1">
      <c r="A18">
        <f>startup_master_comprehensive_da!A15</f>
        <v>0</v>
      </c>
    </row>
    <row r="19" spans="1:1">
      <c r="A19">
        <f>startup_master_comprehensive_da!A16</f>
        <v>0</v>
      </c>
    </row>
    <row r="20" spans="1:1">
      <c r="A20">
        <f>startup_master_comprehensive_da!A17</f>
        <v>0</v>
      </c>
    </row>
    <row r="21" spans="1:1">
      <c r="A21" t="e">
        <f>startup_master_comprehensive_da!#REF!</f>
        <v>#REF!</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Indranil datta</dc:creator>
  <cp:keywords/>
  <dc:description/>
  <cp:lastModifiedBy/>
  <cp:revision/>
  <dcterms:created xsi:type="dcterms:W3CDTF">2026-06-12T05:37:59Z</dcterms:created>
  <dcterms:modified xsi:type="dcterms:W3CDTF">2026-07-03T13:33:51Z</dcterms:modified>
  <cp:category/>
  <cp:contentStatus/>
</cp:coreProperties>
</file>